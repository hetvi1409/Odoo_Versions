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_rels/workbook.xml.rels" ContentType="application/vnd.openxmlformats-package.relationships+xml"/>
  <Override PartName="/xl/media/image1.wmf" ContentType="image/x-wmf"/>
  <Override PartName="/xl/media/image2.jpeg" ContentType="image/jpeg"/>
  <Override PartName="/xl/media/image4.png" ContentType="image/png"/>
  <Override PartName="/xl/media/image3.png" ContentType="image/png"/>
  <Override PartName="/xl/media/image5.svg" ContentType="image/svg"/>
  <Override PartName="/xl/media/image6.png" ContentType="image/png"/>
  <Override PartName="/xl/media/image7.svg" ContentType="image/svg"/>
  <Override PartName="/xl/media/image8.wmf" ContentType="image/x-wmf"/>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gister 2025-26" sheetId="1" state="visible" r:id="rId3"/>
    <sheet name="Sheet3" sheetId="2" state="hidden" r:id="rId4"/>
    <sheet name="Monitoring Tool" sheetId="3" state="visible" r:id="rId5"/>
    <sheet name="Fraud Risk Register " sheetId="4" state="visible" r:id="rId6"/>
    <sheet name="Emerging Risk Register " sheetId="5" state="visible" r:id="rId7"/>
    <sheet name="Risk Rating Tables " sheetId="6" state="visible" r:id="rId8"/>
    <sheet name="Risk Categories " sheetId="7" state="visible" r:id="rId9"/>
    <sheet name="Tolerance" sheetId="8" state="visible" r:id="rId10"/>
    <sheet name="Control &amp; RM effectiveness" sheetId="9" state="visible" r:id="rId11"/>
    <sheet name="Dashboard " sheetId="10" state="visible" r:id="rId12"/>
    <sheet name="Sheet1" sheetId="11" state="visible" r:id="rId13"/>
    <sheet name="Rating " sheetId="12" state="hidden" r:id="rId14"/>
  </sheets>
  <definedNames>
    <definedName function="false" hidden="true" localSheetId="9" name="_xlnm._FilterDatabase" vbProcedure="false">'Dashboard '!$A$1:$G$39</definedName>
    <definedName function="false" hidden="false" localSheetId="4" name="_xlnm.Print_Area" vbProcedure="false">'Emerging Risk Register '!$A$1:$U$19</definedName>
    <definedName function="false" hidden="false" localSheetId="4" name="_xlnm.Print_Titles" vbProcedure="false">'Emerging Risk Register '!$9:$9</definedName>
    <definedName function="false" hidden="true" localSheetId="3" name="_xlnm._FilterDatabase" vbProcedure="false">'Fraud Risk Register '!$A$1:$X$83</definedName>
    <definedName function="false" hidden="true" localSheetId="2" name="_xlnm._FilterDatabase" vbProcedure="false">'Monitoring Tool'!$A$1:$K$86</definedName>
    <definedName function="false" hidden="false" localSheetId="0" name="_xlnm.Print_Area" vbProcedure="false">'Register 2025-26'!$A$1:$U$50</definedName>
    <definedName function="false" hidden="false" localSheetId="0" name="_xlnm.Print_Titles" vbProcedure="false">'Register 2025-26'!$9:$9</definedName>
    <definedName function="false" hidden="false" name="category" vbProcedure="false">#REF!</definedName>
    <definedName function="false" hidden="false" name="category1" vbProcedure="false">#REF!</definedName>
    <definedName function="false" hidden="false" name="controleeffectiveness" vbProcedure="false">#REF!</definedName>
    <definedName function="false" hidden="false" name="Effectiveness" vbProcedure="false">#REF!</definedName>
    <definedName function="false" hidden="false" localSheetId="2" name="category" vbProcedure="false">#REF!</definedName>
    <definedName function="false" hidden="false" localSheetId="2" name="controleeffectiveness" vbProcedure="false">#REF!</definedName>
    <definedName function="false" hidden="false" localSheetId="2" name="Effectiveness" vbProcedure="false">#REF!</definedName>
    <definedName function="false" hidden="false" localSheetId="9" name="category" vbProcedure="false">#REF!</definedName>
    <definedName function="false" hidden="false" localSheetId="9" name="controleeffectiveness" vbProcedure="false">#REF!</definedName>
    <definedName function="false" hidden="false" localSheetId="9" name="Effectiveness"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<sst xmlns="http://schemas.openxmlformats.org/spreadsheetml/2006/main" count="2436" uniqueCount="1160">
  <si>
    <t xml:space="preserve">                                                                            OPERATIONAL RISK REGISTER 2025/26</t>
  </si>
  <si>
    <t xml:space="preserve">Link to
Outcome </t>
  </si>
  <si>
    <t xml:space="preserve">Risk 
number </t>
  </si>
  <si>
    <t xml:space="preserve">Unit</t>
  </si>
  <si>
    <t xml:space="preserve">Risk
 Category</t>
  </si>
  <si>
    <t xml:space="preserve">Risk Description </t>
  </si>
  <si>
    <t xml:space="preserve">Risk Causes </t>
  </si>
  <si>
    <t xml:space="preserve">Consequences</t>
  </si>
  <si>
    <t xml:space="preserve">Impact Value
 (1-5)</t>
  </si>
  <si>
    <t xml:space="preserve">Likelihood Value
 (1-5)</t>
  </si>
  <si>
    <t xml:space="preserve">Inherent   Risk Value </t>
  </si>
  <si>
    <t xml:space="preserve">Current 
controls</t>
  </si>
  <si>
    <t xml:space="preserve">Control Effectiveness</t>
  </si>
  <si>
    <t xml:space="preserve">Effectiveness rating </t>
  </si>
  <si>
    <t xml:space="preserve">Residual Risk Value </t>
  </si>
  <si>
    <t xml:space="preserve">Risk Appetite</t>
  </si>
  <si>
    <t xml:space="preserve">Risk Tolerance</t>
  </si>
  <si>
    <t xml:space="preserve">Suggested Risk Response</t>
  </si>
  <si>
    <t xml:space="preserve">Risk 
Owner</t>
  </si>
  <si>
    <t xml:space="preserve">Action to improve management of the risk</t>
  </si>
  <si>
    <t xml:space="preserve">Action 
owner</t>
  </si>
  <si>
    <t xml:space="preserve">Timeline</t>
  </si>
  <si>
    <t xml:space="preserve">Enhanced governance for service delivery efficiency</t>
  </si>
  <si>
    <t xml:space="preserve">CS-1</t>
  </si>
  <si>
    <t xml:space="preserve">Corporate Services</t>
  </si>
  <si>
    <t xml:space="preserve">Compliance / Regulatory</t>
  </si>
  <si>
    <t xml:space="preserve">Inadequate management of performance by supervisors
</t>
  </si>
  <si>
    <t xml:space="preserve">Non-compliance with EPMDS policy 
Misalignment of Performance agreements to the Annual Performance Plan and Operational  plan
</t>
  </si>
  <si>
    <t xml:space="preserve">Late submission of PMDS documents
Delays in the awarding of  performance incentives
Negative impact on expenditure projections 
Negative Audit report
Inability to identify performance gaps timeously
</t>
  </si>
  <si>
    <t xml:space="preserve">EPMDS policy  
EPMDS appeals committee 
EPMDS implementation plan 
Circulars on EPMDS 
Monitoring of PMDS documents on PERSAL 
EPMDS Templates
EPMDS quality control checklist 
</t>
  </si>
  <si>
    <t xml:space="preserve">satisfactory</t>
  </si>
  <si>
    <t xml:space="preserve">Chief Director-Corporate Services</t>
  </si>
  <si>
    <t xml:space="preserve">Continuous implementation of EPMDS quality control checklist 
</t>
  </si>
  <si>
    <t xml:space="preserve">Director HRD &amp;OD</t>
  </si>
  <si>
    <t xml:space="preserve">bi-annually 
</t>
  </si>
  <si>
    <t xml:space="preserve">CS-2</t>
  </si>
  <si>
    <t xml:space="preserve">Incorrect record of Leave accruals</t>
  </si>
  <si>
    <t xml:space="preserve">Delays in submission of leave forms by management</t>
  </si>
  <si>
    <t xml:space="preserve">Overstating of AFS
Negative audit opinion </t>
  </si>
  <si>
    <r>
      <rPr>
        <sz val="11"/>
        <rFont val="Arial"/>
        <family val="2"/>
        <charset val="1"/>
      </rPr>
      <t xml:space="preserve">Leave management policy
Triplicate leave form 
Attendance register 
Leave management tool
Persal leave report
</t>
    </r>
    <r>
      <rPr>
        <sz val="11"/>
        <color rgb="FFFF0000"/>
        <rFont val="Arial"/>
        <family val="2"/>
        <charset val="1"/>
      </rPr>
      <t xml:space="preserve">
</t>
    </r>
    <r>
      <rPr>
        <sz val="11"/>
        <rFont val="Arial"/>
        <family val="2"/>
        <charset val="1"/>
      </rPr>
      <t xml:space="preserve">
</t>
    </r>
  </si>
  <si>
    <t xml:space="preserve">very good</t>
  </si>
  <si>
    <t xml:space="preserve">Chief Director: Corporate services</t>
  </si>
  <si>
    <t xml:space="preserve">Continue to monitor existing controls 
</t>
  </si>
  <si>
    <t xml:space="preserve">Director HRM </t>
  </si>
  <si>
    <t xml:space="preserve">Quarterly </t>
  </si>
  <si>
    <t xml:space="preserve">CS-3</t>
  </si>
  <si>
    <t xml:space="preserve">Default Judgements</t>
  </si>
  <si>
    <t xml:space="preserve">The department does not serve and file a notice of intention to defend/oppose
The department does not serve and file a notice of intention to defend/oppose/ timeously.  
The department fails to file a plea/opposing affidavit on a matter.  
The department enters a defective entry of intention to defend/oppose.
</t>
  </si>
  <si>
    <t xml:space="preserve">High Legal Fees 
Fruitless and wasteful expenditure 
Negative audit outcome
</t>
  </si>
  <si>
    <t xml:space="preserve">Circular issued to All Staff on the process for handling legal matters
Circular on default judgement processes
Circular on handling Legal Documents
Litigation Policy
Court Rules (Higher and Lower Courts)</t>
  </si>
  <si>
    <t xml:space="preserve">good</t>
  </si>
  <si>
    <t xml:space="preserve">Director: Legal services </t>
  </si>
  <si>
    <t xml:space="preserve">ICT-01</t>
  </si>
  <si>
    <t xml:space="preserve">Knowledge and Information Management</t>
  </si>
  <si>
    <t xml:space="preserve">Inadequate management of Departmental records and knowledge
</t>
  </si>
  <si>
    <t xml:space="preserve">Ineffective utilisation of centralised  registry services
Non utilisation of the authorised departmental file plan
Limited storage space for records keeping
Inadequate records management capacity (Human Resources) in the department. e.g. Records Manager is not in the Organogram.
Misaligned ICT Structure.
Lack of knowledge management practices
Non compliance with National and Provincial Archives Act 
 </t>
  </si>
  <si>
    <t xml:space="preserve">Loss of Departmental information and knowledge
Negative audit opinion
Data breach
Non preservation of institutional memory
</t>
  </si>
  <si>
    <t xml:space="preserve">National Archives Act 
Records Management Policy 
Departmental file plan 
Procedure Manual
Provincial Innovation &amp; Knowledge Management Strategy .
Innovation &amp; Knowledge Managements champions appointed.
Knowledge Hub  (Departmental Website)
National Human Settlements knowledge management  strategy
Succession Plan (HR)
Physical records verification form
ICT Digital Strategy, Information Systems Security (ISS) Strategy and Plan in place.
Provincial Archives policy 
Secure offsite storage 
</t>
  </si>
  <si>
    <t xml:space="preserve">Chief Director: Strategy and Systems</t>
  </si>
  <si>
    <t xml:space="preserve">Conduct  awarenesses on records management 
Monitor the  implementation of the records management policy  
Digitise and automate records management  </t>
  </si>
  <si>
    <t xml:space="preserve">Director:GICTM</t>
  </si>
  <si>
    <t xml:space="preserve">Quarterly
Quarterly
Quarterly </t>
  </si>
  <si>
    <t xml:space="preserve">Socially cohesive and economically viable communities with access to basic services, housing, and economic opportunities</t>
  </si>
  <si>
    <t xml:space="preserve">HSFP-1</t>
  </si>
  <si>
    <t xml:space="preserve">Human Settlements Facilitation Programme</t>
  </si>
  <si>
    <t xml:space="preserve">Service delivery</t>
  </si>
  <si>
    <t xml:space="preserve">Illegal occupation and use of houses 
</t>
  </si>
  <si>
    <r>
      <rPr>
        <sz val="11"/>
        <rFont val="Arial"/>
        <family val="2"/>
        <charset val="1"/>
      </rPr>
      <t xml:space="preserve">Inadequate capacity at  municipal level to manage beneficiary administration processes 
</t>
    </r>
    <r>
      <rPr>
        <sz val="11"/>
        <color rgb="FFFF0000"/>
        <rFont val="Arial"/>
        <family val="2"/>
        <charset val="1"/>
      </rPr>
      <t xml:space="preserve">
</t>
    </r>
    <r>
      <rPr>
        <sz val="11"/>
        <rFont val="Arial"/>
        <family val="2"/>
        <charset val="1"/>
      </rPr>
      <t xml:space="preserve">Manipulation of approved beneficiary lists 
Delays in project implementation 
Migration of beneficiaries 
</t>
    </r>
  </si>
  <si>
    <t xml:space="preserve">Service delivery protests  
Rightful owners not occupying their houses
</t>
  </si>
  <si>
    <t xml:space="preserve">Housing Subsidy System 
Housing Code 
Beneficiary Allocation Policy
Beneficiary Allocation Committees
Beneficiary correct occupation guidelines 
</t>
  </si>
  <si>
    <t xml:space="preserve">Chief Director: Human Settlements Facilitation Programme </t>
  </si>
  <si>
    <t xml:space="preserve">Establishment and monitoring of  Beneficiary Allocation Committees to ensure fairness in the allocation process and to avoid possible misallocation and wrongful occupation of houses
Provide support to Municipalities regarding Beneficiary Administration 
</t>
  </si>
  <si>
    <t xml:space="preserve">Director: Beneficiary Management </t>
  </si>
  <si>
    <t xml:space="preserve">Quarterly 
Quarterly 
</t>
  </si>
  <si>
    <t xml:space="preserve">HSFP-2</t>
  </si>
  <si>
    <t xml:space="preserve">Inadequate implementation of  facilitation interventions
</t>
  </si>
  <si>
    <t xml:space="preserve">Limited budget
Lack of co-ordination within the department 
Lack of participation of key stakeholders 
</t>
  </si>
  <si>
    <t xml:space="preserve">Social unrest.
Non compliance of consumers with the housing code.
Growing trend of beneficiaries selling subsidised houses
Limited understanding by beneficiaries of their rights and responsibilities 
</t>
  </si>
  <si>
    <t xml:space="preserve">Housing code .
Consumer Education Framework 
 Social Facilitation Strategy
</t>
  </si>
  <si>
    <t xml:space="preserve">Implementation of the Social Facilitation Strategy
</t>
  </si>
  <si>
    <t xml:space="preserve">Director: Social Facilitation and Customer Care</t>
  </si>
  <si>
    <t xml:space="preserve">Quarterly
</t>
  </si>
  <si>
    <t xml:space="preserve">HSFP-3</t>
  </si>
  <si>
    <r>
      <rPr>
        <sz val="11"/>
        <rFont val="Arial"/>
        <family val="2"/>
        <charset val="1"/>
      </rPr>
      <t xml:space="preserve">Procurement of 40% MSMEs from the framework agreement may not be achieved. 
</t>
    </r>
    <r>
      <rPr>
        <b val="true"/>
        <sz val="11"/>
        <rFont val="Arial"/>
        <family val="2"/>
        <charset val="1"/>
      </rPr>
      <t xml:space="preserve">
</t>
    </r>
  </si>
  <si>
    <t xml:space="preserve">1. There is currently no new projects dedicated to the MSMEs in the approved business plan.
2. MSME Framework Agreement could not be finalised due to the end of validity period which lapsed.  
3. No Departmental policy that caters and enforce MSME procurement as the preferential procurement act does not adequately cover appointment of MSME but focuses on designated groups.
</t>
  </si>
  <si>
    <t xml:space="preserve">Possibility of reputational damage since this was mentioned in the MEC's budget speech as one of the key priorities.
</t>
  </si>
  <si>
    <t xml:space="preserve">Preferential Procurement Act
Public Procurement Act</t>
  </si>
  <si>
    <t xml:space="preserve">weak</t>
  </si>
  <si>
    <t xml:space="preserve">Acquire lists of MSME contractors appointed by the region who are utilizing 40% of the Human Settlements’ Conditional Grant </t>
  </si>
  <si>
    <t xml:space="preserve">Director: Emerging Contractor Development </t>
  </si>
  <si>
    <t xml:space="preserve">Annually
</t>
  </si>
  <si>
    <t xml:space="preserve">HSFP-4</t>
  </si>
  <si>
    <t xml:space="preserve">Inability for the department to provide input on skills development to unemployed youth (apprenticeship and learning )</t>
  </si>
  <si>
    <t xml:space="preserve">Lack of departmental funding stream for artisan development programme. 
Dependence on external funding.
</t>
  </si>
  <si>
    <t xml:space="preserve">Inability to provide artisan skills resource base for departmental projects 
Inability to develop Artisans.
</t>
  </si>
  <si>
    <t xml:space="preserve">Annual MoU with Construction Education &amp; Training Authority (CETA) 
CETA funding for eighty (80) learnership opportunities successfully secured
</t>
  </si>
  <si>
    <t xml:space="preserve">Enhance working relationship with the Construction Education Training Authority (CETA) to receive funding permanently for funding the learnership and apprenticeship programmes.
Allocation of funding from OPSAP
</t>
  </si>
  <si>
    <t xml:space="preserve">Annually</t>
  </si>
  <si>
    <t xml:space="preserve">HSFP-5</t>
  </si>
  <si>
    <t xml:space="preserve">Appointed contractors may not adequatly report on the number of jobs created</t>
  </si>
  <si>
    <t xml:space="preserve">1. Appointed contractors do not attach and submit compliance documents such as the contracts between the contractor and EPWP participants, copies of the ID, copies of the attendance and payment registers.
2. Non adherence to current controls </t>
  </si>
  <si>
    <t xml:space="preserve">1. Inadequate reports submitted by contractors get rejected by the EPWP Report System. 
2. Target not achieved as a result of inadequate reports on the number of jobs created in Departmental projects submitted by appointed contractors.</t>
  </si>
  <si>
    <t xml:space="preserve">Full Adherence to EPWP Guidelines
( Attachment of the compliance documents on EPWP monthly reports by appointed contractors
 Full adherence to and signing off of the EPWP report checklist attached on payment certificate by Regional Directors to the Accounting Officer's directive pay appointed contractors for value created relative to their scope of work unless they submit fully compliant monthly reports)
JBBC 5 Contract
(MOU) in cooperation with the Department of Employment and Labor (DEL) to access unemployed labor for placement in Departmental projects when the need arises.</t>
  </si>
  <si>
    <t xml:space="preserve"> The Directorate of Emerging Contractors in cooperation with the Project Managers, EPWP Coordinators, Hands On Support and ECDPWI to collect compliant data from the appointed contractors
 Prepare an EPWP compliance checklist template for sign off by Project Manager, EPWP coordinator and the Regional Director.
</t>
  </si>
  <si>
    <t xml:space="preserve">Quarterly</t>
  </si>
  <si>
    <t xml:space="preserve">HSFP-6</t>
  </si>
  <si>
    <t xml:space="preserve">Procurement of 10% building materials from black industrialists may not be achieved since there is no policy provision and provision in the contracts of the appointed contractors</t>
  </si>
  <si>
    <t xml:space="preserve">1. Lack of internal and external policy and framework supporting the procurement of materials from the black industirialists.
2. The East London Industrial Development Zone (ELDZ) does not have a target nor KPI to measure to support black industrialists in 2025/26
3. Provincial Treasury Instruction note 7 of 2016/17 does not cater for the procurement of building materials from Black Industrialists by contractors appointed.
4. Currently contracts of the appointed contractors do not have a provision for the procurement of building materials from the Black Industrialists by contractors appointed</t>
  </si>
  <si>
    <t xml:space="preserve">1. Procurement of building material suppliers by contractors who are contracted with the department from 10 percent of the black industrialists may not be achieved.
2. This may cause reputational damage for the Departmen since the MEC pronounced in the budget policy speech as one of the priorities</t>
  </si>
  <si>
    <t xml:space="preserve">Black Industrialists 2015
Treasury Instruction Note 7; 2016/17</t>
  </si>
  <si>
    <t xml:space="preserve">1. Conduct a survey amongst the contractors appointed in all Departmental Regions to determine percentage of Black Industrialists whose building materials is being procured by appointed contractors. 
2. Report on percentage of Black Industrialists whose building materials is procured by the contractors appointed
3. Recommend mechanisms for policy Implementation mechanism.</t>
  </si>
  <si>
    <t xml:space="preserve">Annually 
</t>
  </si>
  <si>
    <t xml:space="preserve">HSFP-7</t>
  </si>
  <si>
    <t xml:space="preserve">Delays in the processes of project approval 
</t>
  </si>
  <si>
    <t xml:space="preserve">Departmental Competing Priorities
 </t>
  </si>
  <si>
    <t xml:space="preserve">Lack of service delivery 
Underperformance by the department  (financial and non financial)
</t>
  </si>
  <si>
    <t xml:space="preserve">Housing Code 
Housing Policies 
Continuous implementation of Guideline for the project approval process.</t>
  </si>
  <si>
    <t xml:space="preserve">Continue to monitor existing controls 
 </t>
  </si>
  <si>
    <t xml:space="preserve">Socially cohesive and economically viable communities with access to basic services, housing, and economic opportunities </t>
  </si>
  <si>
    <t xml:space="preserve">HSIP 1</t>
  </si>
  <si>
    <t xml:space="preserve">Human Settlements Incremental Programs</t>
  </si>
  <si>
    <t xml:space="preserve">Third party performance</t>
  </si>
  <si>
    <t xml:space="preserve">Inadequate provision of temporary relief to  emergency housing cases     </t>
  </si>
  <si>
    <t xml:space="preserve">Inability of  municipalities to perform the emergency housing assistance function
Inadequate capacity of contractors to supply temporal shelters
Limited budget against demand
Unclear value chain process 
</t>
  </si>
  <si>
    <t xml:space="preserve">Violation of Human rights
Exposure of people to vulnerability
</t>
  </si>
  <si>
    <t xml:space="preserve">Housing Code 
Service level agreement with appointed contactors
Disaster Management Act 
Supply Chain Management Policy
</t>
  </si>
  <si>
    <t xml:space="preserve">Chief Director: Human Settlements Incremental Programs</t>
  </si>
  <si>
    <t xml:space="preserve">Engage and support relevant stakeholders on policy implementation
</t>
  </si>
  <si>
    <t xml:space="preserve">Director: Emergency Housing and EPHP</t>
  </si>
  <si>
    <t xml:space="preserve">HSIP 2</t>
  </si>
  <si>
    <t xml:space="preserve">Inconsistence in the implementation of the EPHP programme </t>
  </si>
  <si>
    <t xml:space="preserve">Limited understanding of the EPHP policy and its implementation by role-players 
Lack of capacity by CRO's to implement the programme
</t>
  </si>
  <si>
    <t xml:space="preserve">Blocked projects
Inability to achieve the objectives of the policy
</t>
  </si>
  <si>
    <t xml:space="preserve">Housing code 
EPHP provincial guidelines 
</t>
  </si>
  <si>
    <r>
      <rPr>
        <sz val="11"/>
        <rFont val="Arial"/>
        <family val="2"/>
        <charset val="1"/>
      </rPr>
      <t xml:space="preserve">Conduct workshops for appointed CRO's to reinforce the understanding 
Engage stakeholders to align to the implementation of the EPHP
</t>
    </r>
    <r>
      <rPr>
        <sz val="11"/>
        <color theme="1"/>
        <rFont val="Arial"/>
        <family val="2"/>
        <charset val="1"/>
      </rPr>
      <t xml:space="preserve">Establishment of the CRO panel  for capacity enhancement through SCM processes
</t>
    </r>
    <r>
      <rPr>
        <sz val="11"/>
        <color rgb="FFFF0000"/>
        <rFont val="Arial"/>
        <family val="2"/>
        <charset val="1"/>
      </rPr>
      <t xml:space="preserve">
</t>
    </r>
  </si>
  <si>
    <r>
      <rPr>
        <sz val="11"/>
        <rFont val="Arial"/>
        <family val="2"/>
        <charset val="1"/>
      </rPr>
      <t xml:space="preserve">30/09/2025
30/09/2025
</t>
    </r>
    <r>
      <rPr>
        <sz val="11"/>
        <color rgb="FFFF0000"/>
        <rFont val="Arial"/>
        <family val="2"/>
        <charset val="1"/>
      </rPr>
      <t xml:space="preserve">
</t>
    </r>
    <r>
      <rPr>
        <sz val="11"/>
        <color theme="1"/>
        <rFont val="Arial"/>
        <family val="2"/>
        <charset val="1"/>
      </rPr>
      <t xml:space="preserve">31/03/2026
</t>
    </r>
    <r>
      <rPr>
        <sz val="11"/>
        <rFont val="Arial"/>
        <family val="2"/>
        <charset val="1"/>
      </rPr>
      <t xml:space="preserve">
</t>
    </r>
  </si>
  <si>
    <t xml:space="preserve">HSIP 3</t>
  </si>
  <si>
    <t xml:space="preserve">Inability to  upgrade informal  settlements  to the desired phases 1, 2 &amp; 3
</t>
  </si>
  <si>
    <t xml:space="preserve">Lack of bulk infrastructure 
Poor alignment of the implementing partners to the delivery outputs 
Challenges in land assembly
Lack of enforcement of conditions of contract 
</t>
  </si>
  <si>
    <t xml:space="preserve">Social unrest
Failure to achieve tenure security , Health security and  community empowerment   (Water  &amp; Sanitation) 
Non provision  of housing opportunities to qualifying beneficiaries 
</t>
  </si>
  <si>
    <t xml:space="preserve">Housing code 
National informal settlements upgrading framework (DORA)
Province wide upgrading strategy
National Department of Human Settlements Upgrading framework 
</t>
  </si>
  <si>
    <t xml:space="preserve">Review province wide upgrading strategy to align with DORA and the National Human Settlements upgrading framework 
Strengthen partnerships with delivery stakeholders
Enhance social facilitation and awareness
Enforcement of  contractual  terms and conditions 
</t>
  </si>
  <si>
    <t xml:space="preserve">Director: Informal Settlements Upgrading</t>
  </si>
  <si>
    <t xml:space="preserve">30/09/2025
Quarterly
Quarterly
Quarterly
</t>
  </si>
  <si>
    <t xml:space="preserve">Improved tenure security and expanded access to affordable housing through innovative funding models and partnerships  </t>
  </si>
  <si>
    <t xml:space="preserve">HSPA- 01</t>
  </si>
  <si>
    <t xml:space="preserve">Human Settlements Property and Assets</t>
  </si>
  <si>
    <t xml:space="preserve">Inadequate devolution of land parcels to municipalities
</t>
  </si>
  <si>
    <t xml:space="preserve">Municipalities refusing to accept offered land parcels
Delays in council resolutions
Delays by state attorney in appointing correspondents 
</t>
  </si>
  <si>
    <t xml:space="preserve">Land invasion
Social unrest/protests 
Illegal occupation
</t>
  </si>
  <si>
    <t xml:space="preserve">Section 14 and 15 of Housing Act 107 of 1997 as amended 
Housing Code 
Deeds Registry Act  43 of 1937
State Land disposal Act
</t>
  </si>
  <si>
    <t xml:space="preserve">Chief Director: Housing Property Management </t>
  </si>
  <si>
    <t xml:space="preserve">Engage municipalities to provide council resolutions/regulations and or development plans inline with the land to be devolved
Engage state attorney to ensure timeous appointment of correspondents  
</t>
  </si>
  <si>
    <t xml:space="preserve">Director: Land Acquisition and Tenure Services</t>
  </si>
  <si>
    <t xml:space="preserve">Quarterly 
Quarterly </t>
  </si>
  <si>
    <t xml:space="preserve">Improved tenure security and expanded access to affordable housing through innovative funding models and partnerships</t>
  </si>
  <si>
    <t xml:space="preserve">HSPA - 02</t>
  </si>
  <si>
    <t xml:space="preserve">Inadequate number of pre-1994 housing stock transferred to beneficiaries</t>
  </si>
  <si>
    <t xml:space="preserve">Incomplete lists submitted by the municipalities
Untraceable beneficiaries
Lost mother title deeds
Beneficiary disputes over estates 
Resistance to take over ownership of dilapidated houses 
</t>
  </si>
  <si>
    <t xml:space="preserve">Unable to promote home ownership and security of land tenure 
</t>
  </si>
  <si>
    <t xml:space="preserve">Housing Code 
EEDBS (Enhanced Extended Discount Benefit Scheme) policy . 
 Ex housing board asset register
Deeds Registry Act 43 OF 1937
Panel of conveyancers
</t>
  </si>
  <si>
    <t xml:space="preserve">Chief Director:
Human Settlements Property and  Asset Management </t>
  </si>
  <si>
    <t xml:space="preserve">Provision of  support to municipalities to ensure completeness of  beneficiary list
Awareness on the acceptance of the stand
</t>
  </si>
  <si>
    <t xml:space="preserve">Director: Sales, Transfers and Assets</t>
  </si>
  <si>
    <t xml:space="preserve">Quarterly
Quarterly                
</t>
  </si>
  <si>
    <t xml:space="preserve">HSPA - 03</t>
  </si>
  <si>
    <t xml:space="preserve">Inadequate number of First Home Finance subsidies disbursed</t>
  </si>
  <si>
    <t xml:space="preserve">Incomplete applications 
Delays in the approval process
Change in the status of the applicant
Bond approval cancellations 
Turn around time for processing payments</t>
  </si>
  <si>
    <t xml:space="preserve">Negative impact on the departmental reputation 
Deprivation of the middle income group access to affordable  housing opportunities and security of tenure
</t>
  </si>
  <si>
    <t xml:space="preserve">First Home Finance policy
Housing Subsidy System 
Public Finance Management Act
Departmental application checklist
</t>
  </si>
  <si>
    <t xml:space="preserve">Continuous engagements  with First Home Finance stakeholders 
Align budget to set targets
</t>
  </si>
  <si>
    <t xml:space="preserve">Director:Social and Rental Housing Programme</t>
  </si>
  <si>
    <t xml:space="preserve">Quarterly
30/09/2025</t>
  </si>
  <si>
    <t xml:space="preserve">HSPA - 04</t>
  </si>
  <si>
    <t xml:space="preserve">Reputation</t>
  </si>
  <si>
    <t xml:space="preserve">Potential delays in resolving complex rental cases     </t>
  </si>
  <si>
    <t xml:space="preserve">Complexity of the rental  matters 
</t>
  </si>
  <si>
    <t xml:space="preserve">Potential loss of stakeholders confidence 
</t>
  </si>
  <si>
    <t xml:space="preserve">Rental Housing Act .  
Rental Housing Tribunal 
Case Management system 
Consumer protection Act  
Magistrate Court Act 32 of 1994
Section 26 of the Constitution</t>
  </si>
  <si>
    <t xml:space="preserve">Complex cases continue to be resolved through tribunal 
</t>
  </si>
  <si>
    <t xml:space="preserve">Ongoing</t>
  </si>
  <si>
    <t xml:space="preserve">CFO-01</t>
  </si>
  <si>
    <t xml:space="preserve">Financial Management Services</t>
  </si>
  <si>
    <t xml:space="preserve">Non adherence to SCM processes and procedures
</t>
  </si>
  <si>
    <t xml:space="preserve">Non compliance with SCM prescripts and legislation
Collusion of contractors with Departmental Officials 
Lack of awareness of SCM policies and procedures
</t>
  </si>
  <si>
    <t xml:space="preserve">Awarding of contracts to incompetent contractors
Fruitless and wasteful expenditure
Irregular expenditure
Delays in service
delivery
Negative audit outcome
Loss of stakeholder's confidence 
</t>
  </si>
  <si>
    <t xml:space="preserve">SCM Policy
Verification of restricted service providers on CSD and National Treasury Restricted Supplier Database.
Signing of declaration forms, code of conduct and Oath of secrecy by SCM Officials and Bid committee members
Vetting of SCM practitioners and Bid committee members
Commitment register for awarded contractors
Approved SCM Delegations for order authorisations 
Implementation of disciplinary process 
Implement recommendations of Internal and external Auditors
Implementation of National Treasury Instruction notes </t>
  </si>
  <si>
    <t xml:space="preserve">Chief Director: Financial Management Services</t>
  </si>
  <si>
    <r>
      <rPr>
        <sz val="11"/>
        <rFont val="Arial"/>
        <family val="2"/>
        <charset val="1"/>
      </rPr>
      <t xml:space="preserve">Training of SCM practitioners and Bid Committee Members 
</t>
    </r>
    <r>
      <rPr>
        <sz val="11"/>
        <color theme="1"/>
        <rFont val="Arial"/>
        <family val="2"/>
        <charset val="1"/>
      </rPr>
      <t xml:space="preserve">
Standard Operating Procedures to be finalised and communicated 
</t>
    </r>
    <r>
      <rPr>
        <sz val="11"/>
        <rFont val="Arial"/>
        <family val="2"/>
        <charset val="1"/>
      </rPr>
      <t xml:space="preserve">
</t>
    </r>
  </si>
  <si>
    <t xml:space="preserve">Director: SCM</t>
  </si>
  <si>
    <t xml:space="preserve">31/12/2025
Quarterly
</t>
  </si>
  <si>
    <t xml:space="preserve">CFO-02</t>
  </si>
  <si>
    <t xml:space="preserve">Fraud &amp; corruption</t>
  </si>
  <si>
    <t xml:space="preserve">Misuse of government vehicles 
</t>
  </si>
  <si>
    <r>
      <rPr>
        <sz val="11"/>
        <rFont val="Arial"/>
        <family val="2"/>
        <charset val="1"/>
      </rPr>
      <t xml:space="preserve">Inadequate  management of Fleet vehicles by various programs
</t>
    </r>
    <r>
      <rPr>
        <sz val="11"/>
        <color theme="1"/>
        <rFont val="Arial"/>
        <family val="2"/>
        <charset val="1"/>
      </rPr>
      <t xml:space="preserve">
No personnel to manage fleet at regional offices 
</t>
    </r>
    <r>
      <rPr>
        <sz val="11"/>
        <rFont val="Arial"/>
        <family val="2"/>
        <charset val="1"/>
      </rPr>
      <t xml:space="preserve">
 </t>
    </r>
  </si>
  <si>
    <t xml:space="preserve">Fruitless and wasteful expenditure
Delays in service delivery  
</t>
  </si>
  <si>
    <t xml:space="preserve">Transport Circular 5 of 2000 on use of government vehicles  
Monthly reconciliation of  itinerary to trip authorities
Submission of weekly plans by Programmes on fleet activities
Quarterly inspection of government vehicles
Tracking system  
Grounding of vehicles after hours
Regional Directors identified nodal persons to administer fleet on adhoc basis  
Implementation of disciplinary process </t>
  </si>
  <si>
    <t xml:space="preserve">Conduct awareness sessions on Fleet Management Policy 
Implement disciplinary processes as per departmental Fleet Management Policy 
Review tracker reports and report on identified exceptions 
</t>
  </si>
  <si>
    <t xml:space="preserve">Director : Asset Management </t>
  </si>
  <si>
    <t xml:space="preserve">Quarterly
Quarterly
Quarterly</t>
  </si>
  <si>
    <t xml:space="preserve">CFO-03</t>
  </si>
  <si>
    <t xml:space="preserve">Loss/ theft of assets</t>
  </si>
  <si>
    <t xml:space="preserve">Loss of Assets and consumables
</t>
  </si>
  <si>
    <r>
      <rPr>
        <sz val="11"/>
        <rFont val="Arial"/>
        <family val="2"/>
        <charset val="1"/>
      </rPr>
      <t xml:space="preserve">Non safeguarding of assets by custodians  
</t>
    </r>
    <r>
      <rPr>
        <sz val="11"/>
        <color rgb="FFFF0000"/>
        <rFont val="Arial"/>
        <family val="2"/>
        <charset val="1"/>
      </rPr>
      <t xml:space="preserve">
</t>
    </r>
    <r>
      <rPr>
        <sz val="11"/>
        <rFont val="Arial"/>
        <family val="2"/>
        <charset val="1"/>
      </rPr>
      <t xml:space="preserve">
Criminal intent (Theft)
</t>
    </r>
    <r>
      <rPr>
        <sz val="11"/>
        <color rgb="FFFF0000"/>
        <rFont val="Arial"/>
        <family val="2"/>
        <charset val="1"/>
      </rPr>
      <t xml:space="preserve">
</t>
    </r>
    <r>
      <rPr>
        <sz val="11"/>
        <color theme="1"/>
        <rFont val="Arial"/>
        <family val="2"/>
        <charset val="1"/>
      </rPr>
      <t xml:space="preserve">Lack of security controls</t>
    </r>
    <r>
      <rPr>
        <sz val="11"/>
        <color rgb="FFFF0000"/>
        <rFont val="Arial"/>
        <family val="2"/>
        <charset val="1"/>
      </rPr>
      <t xml:space="preserve">  </t>
    </r>
  </si>
  <si>
    <r>
      <rPr>
        <sz val="11"/>
        <rFont val="Arial"/>
        <family val="2"/>
        <charset val="1"/>
      </rPr>
      <t xml:space="preserve">Misstatement of closing balance in the Annual Financial statement 
Financial loss
Loss of departmental information
Access to departmental resources by unauthorised person  
</t>
    </r>
    <r>
      <rPr>
        <sz val="11"/>
        <color theme="1"/>
        <rFont val="Arial"/>
        <family val="2"/>
        <charset val="1"/>
      </rPr>
      <t xml:space="preserve">
Data breach</t>
    </r>
  </si>
  <si>
    <t xml:space="preserve">Adherence to Asset Management Policy  
Updating of the Asset Register 
loss control register 
Implementation of Asset verification procedure manual  
Oversight by  the Asset Committee 
Implementation of Access Control Policy 
Adherence to Consumable stock management policy 
Implementation of Consumable stock  count procedure manual 
Regular Stock count
Loss Controller  appointed 
Internal investigations 
Aherence to Laptop Security Policy 
ICT security cables for laptops 
Implementation of Bit Locker ( Data encryption)
Implemented Microsoft Defender for endpoint and Identity.
Implementation Multi factor authentication 
Asset management software for tracking and recovery
Microsoft purview for data protection 
ICT security awarenesses </t>
  </si>
  <si>
    <t xml:space="preserve">Conduct awareness campaigns  on asset management during asset verification.
Issue out circular on asset management
Timeous reporting of asset losses 
Implementation of recommendations from investigations 
</t>
  </si>
  <si>
    <t xml:space="preserve">Director : Asset Management 
</t>
  </si>
  <si>
    <t xml:space="preserve">Bi annually
Bi annually
Quarterly
Quarterly</t>
  </si>
  <si>
    <t xml:space="preserve">CFO-04</t>
  </si>
  <si>
    <t xml:space="preserve">Failure to pay suppliers within 30 days </t>
  </si>
  <si>
    <t xml:space="preserve">Non compliance with procurement process 
Delays in the processing of invoices
Non availability of Budget 
</t>
  </si>
  <si>
    <t xml:space="preserve">Fruitless &amp; wasteful expenditure from long outstanding accruals  (interest charged by suppliers).
Litigation
Non compliance with PFMA
Reputational damage to the department
Negative impact on service delivery 
</t>
  </si>
  <si>
    <t xml:space="preserve">Creditors reconciliation performed for recurring suppliers
Invoice register 
Monitoring of equitable share  commitments 
Invoice date stamping to measure 30 day compliance
Issue list of outstanding accruals to Programme Heads and relevant Directors 
In Year Monitoring 
 </t>
  </si>
  <si>
    <r>
      <rPr>
        <sz val="11"/>
        <color theme="1"/>
        <rFont val="Arial"/>
        <family val="2"/>
        <charset val="1"/>
      </rPr>
      <t xml:space="preserve">Conduct awareness sessions for end users on proper processes for submission of invoices 
Engage service providers on submission of invoices 
</t>
    </r>
    <r>
      <rPr>
        <b val="true"/>
        <sz val="11"/>
        <color rgb="FFFF0000"/>
        <rFont val="Arial"/>
        <family val="2"/>
        <charset val="1"/>
      </rPr>
      <t xml:space="preserve">
</t>
    </r>
    <r>
      <rPr>
        <sz val="11"/>
        <color theme="1"/>
        <rFont val="Arial"/>
        <family val="2"/>
        <charset val="1"/>
      </rPr>
      <t xml:space="preserve">
</t>
    </r>
  </si>
  <si>
    <t xml:space="preserve">Director:FAS</t>
  </si>
  <si>
    <r>
      <rPr>
        <sz val="11"/>
        <color theme="1"/>
        <rFont val="Arial"/>
        <family val="2"/>
        <charset val="1"/>
      </rPr>
      <t xml:space="preserve">Quarterly
Monthly
</t>
    </r>
    <r>
      <rPr>
        <b val="true"/>
        <sz val="11"/>
        <color rgb="FFFF0000"/>
        <rFont val="Arial"/>
        <family val="2"/>
        <charset val="1"/>
      </rPr>
      <t xml:space="preserve">
</t>
    </r>
  </si>
  <si>
    <t xml:space="preserve">CFO-05</t>
  </si>
  <si>
    <t xml:space="preserve">Financial</t>
  </si>
  <si>
    <t xml:space="preserve">Inadequate  pay point management </t>
  </si>
  <si>
    <t xml:space="preserve">Unavailability of payrolls 
Payrolls not certified by the relevant Pay Point Managers on time
Lack of communication between Regional offices , HRM and  FMS
</t>
  </si>
  <si>
    <t xml:space="preserve">Payments to former employees 
Payment of ghost employees 
Misallocation of compensation of employee expenditure 
</t>
  </si>
  <si>
    <t xml:space="preserve">Payroll register  
Pay Point Managers
Reconciliation between BAS and Persal
Recall of Salary 
Review of comments by pay point managers and relevant communication to HRM.
Payroll Management Policy 
Staff verification
 </t>
  </si>
  <si>
    <t xml:space="preserve">CFO-06</t>
  </si>
  <si>
    <t xml:space="preserve">Inadequate implementation of Internal controls and transversal systems security measures  
</t>
  </si>
  <si>
    <t xml:space="preserve">Non compliance with policies and procedures 
Lack of Standard operating procedures
</t>
  </si>
  <si>
    <t xml:space="preserve">Irregular, fruitless and wasteful expenditure. 
Fraud and Corruption 
Negative audit report 
</t>
  </si>
  <si>
    <t xml:space="preserve">Internal Control Framework and procedure manual developed and implemented
 Irregular expenditure committee
Treasury instruction notes
Transversal procedure manual 
Register for Policies and procedures
</t>
  </si>
  <si>
    <t xml:space="preserve">Quarterly reports on weaknesses identified within policies and processes
Monitoring of AIP action plans to address root causes of findings
</t>
  </si>
  <si>
    <t xml:space="preserve">Director: Internal and Systems Control</t>
  </si>
  <si>
    <t xml:space="preserve">Quarterly
Monthly
</t>
  </si>
  <si>
    <t xml:space="preserve">CFO-07</t>
  </si>
  <si>
    <t xml:space="preserve">Misstatement of annual financial statements</t>
  </si>
  <si>
    <t xml:space="preserve">Inaccuracies and incompleteness of  disclosure notes
</t>
  </si>
  <si>
    <t xml:space="preserve">Negative Audit Outcome
</t>
  </si>
  <si>
    <t xml:space="preserve">Reconciliation and updating of all supporting schedules 
Review of Financial statements by Audit Committee &amp; Internal Audit 
Quarterly auditing of Interim financial statements 
Audit on compliance by Provincial Treasury on reporting framework
</t>
  </si>
  <si>
    <t xml:space="preserve">Weak</t>
  </si>
  <si>
    <t xml:space="preserve">Supporting schedules signed off as evidence of review by relevant Chief Directorates 
</t>
  </si>
  <si>
    <t xml:space="preserve">Director: Financial Management Accounting </t>
  </si>
  <si>
    <t xml:space="preserve">CFO-08</t>
  </si>
  <si>
    <t xml:space="preserve">Incomplete  contract register 
</t>
  </si>
  <si>
    <t xml:space="preserve">Approved contracts not submitted to contracts management 
</t>
  </si>
  <si>
    <t xml:space="preserve">Negative audit finding 
</t>
  </si>
  <si>
    <t xml:space="preserve">Updated Contracts register 
Incoming and outgoing tracking tool 
Circulate contracts register to SCM, Internal Control, HSS and Project Management Unit 
</t>
  </si>
  <si>
    <t xml:space="preserve">Sourcing and implementation of  Electronic contract management system
Verification of bid status report for awarded contracts and variation order register 
</t>
  </si>
  <si>
    <t xml:space="preserve">Director:
Contracts Management </t>
  </si>
  <si>
    <t xml:space="preserve">Quarterly 
Quarterly 
</t>
  </si>
  <si>
    <t xml:space="preserve">CFO-09</t>
  </si>
  <si>
    <t xml:space="preserve">Inadequate budget allocation
</t>
  </si>
  <si>
    <t xml:space="preserve">Reduced allocation of budget by Provincial Treasury 
Planning not inline with allocated budget 
Over commitment  
</t>
  </si>
  <si>
    <t xml:space="preserve">Inability to meet financial obligations of the department
Compromised service delivery
Failure to pay suppliers within 30 days 
</t>
  </si>
  <si>
    <t xml:space="preserve">Cost containment measures 
Confirmation of funds on Expenditure approval 
Reprioritisation of budget 
Commitment register 
In Year Monitoring
Budget controllers Appointed
Cash flow projections 
Budget advisory Committee 
Financial pledges </t>
  </si>
  <si>
    <t xml:space="preserve">Communication of cost containment measures to all Staff
Review of S&amp;T Policy to be aligned with cost containment measures
Reporting of travel expenditure to responsible programme managers 
</t>
  </si>
  <si>
    <t xml:space="preserve">30/06/2025
Quarterly 
Quarterly 
</t>
  </si>
  <si>
    <t xml:space="preserve">Integrated spatial development through evidence-driven planning aligned with DDM frameworks</t>
  </si>
  <si>
    <t xml:space="preserve">PPR-1 </t>
  </si>
  <si>
    <t xml:space="preserve">Human Settlements Delivery Planning and Performance</t>
  </si>
  <si>
    <t xml:space="preserve">Fragmented  planning between spheres of government leading to misalignment of plans 
</t>
  </si>
  <si>
    <t xml:space="preserve">Inadequate holistic and integrated planning  co-ordination across spheres of government
Lack of commitment and support  from key Stakeholders 
Lack of clarity on implementation of the DDM  and finalisation of the DDM frameworks
Ineffective IGR forums </t>
  </si>
  <si>
    <t xml:space="preserve">No integrated sustainable human settlements
                                      </t>
  </si>
  <si>
    <t xml:space="preserve">Housing Code
DORA
Planning guidelines 
Human Settlements Development Grant (HSDG) and Informal Settlements Upgrading Partnership Grant (ISUPG) Business Plans
Municipal Housing Sector Plans
Multi-year Human Settlements Development Plan
Prioritised Human Settlements and Housing Development Areas  
IGR and DDM Frameworks
Planning Multi Disciplinary Committee</t>
  </si>
  <si>
    <t xml:space="preserve">Chief Director: Human Settlements Delivery Planning and Performance </t>
  </si>
  <si>
    <t xml:space="preserve">Participation in IGR planning forums  (National, Provincial and Municipal Infrastructure Planning Fora, Provincial Cluster Working Groups, District Development Model fora, IDP Fora other planning working streams).
Provide municipalities with technical support on development Human Settlements Sector Plans.
Development of the Human Settlements Development Grant (HSDG) and Informal Settlements Upgrading Partnership Grant (ISUPG) Business Plans
</t>
  </si>
  <si>
    <t xml:space="preserve">Director: Human Settlements Delivery Planning</t>
  </si>
  <si>
    <t xml:space="preserve">Quarterly 
Quarterly 
08 February 2026</t>
  </si>
  <si>
    <t xml:space="preserve">PPR-2</t>
  </si>
  <si>
    <t xml:space="preserve">Inadequate capacity building  and support to Municipalities to perform Human Settlements functions  
</t>
  </si>
  <si>
    <t xml:space="preserve">Lack of financial and non financial resources. 
Lack of co-operation from external stakeholders.
Lack of capacity within the municipalities to administer human settlements programmes
Lack of profiling of municipalities needs</t>
  </si>
  <si>
    <t xml:space="preserve">Failure by municipalities to perform human settlements functions 
Delays in service delivery 
Non compliance with the Housing Code.
</t>
  </si>
  <si>
    <t xml:space="preserve">Housing Code 
National Housing Needs Register guidelines 
Service level Agreement with a Higher Education Institution
Revised Accreditation Framework
</t>
  </si>
  <si>
    <t xml:space="preserve">Advocacy and Consultation through capacity building workshops with the external stakeholders 
Provide support towards accreditation of new Municipalities and Monitoring the performance of accredited municipalities
Enhance the functioning of the National Housing Needs Register 
Implementation of Short learning programs as per Service Level Agreement with Institution of Higher Learning to capacitate municipalities 
Develop capacity building plan 
</t>
  </si>
  <si>
    <t xml:space="preserve">Director: Capacity Building and Municipal Support</t>
  </si>
  <si>
    <t xml:space="preserve">Quarterly 
Quarterly 
Quarterly 
30/09/2025
31/03/2025</t>
  </si>
  <si>
    <t xml:space="preserve">PPR-3</t>
  </si>
  <si>
    <t xml:space="preserve">Non adherence to policies and guidelines 
</t>
  </si>
  <si>
    <t xml:space="preserve">Non compliance with policy directives 
Lack of co-operation and support from Internal and external stakeholders 
Lack of awareness 
      </t>
  </si>
  <si>
    <t xml:space="preserve">Poor in service delivery 
Loss of stakeholder confidence 
Misdirection of the programme deliveries 
</t>
  </si>
  <si>
    <t xml:space="preserve">Human Settlement White Paper National Housing Code 
Provincial Norms and standards  Provincial Human Settlement policies
Policy formulation guidelines 
BNG 
NDP and PDP 
            </t>
  </si>
  <si>
    <t xml:space="preserve">Conduct policy roll out, interpretation and refresher workshops
</t>
  </si>
  <si>
    <t xml:space="preserve">Director: Human Settlements Research and Policy Development</t>
  </si>
  <si>
    <t xml:space="preserve">Annually
</t>
  </si>
  <si>
    <t xml:space="preserve">PPR-4</t>
  </si>
  <si>
    <t xml:space="preserve">Limited use of research findings and recommendations in human settlements development activities 
</t>
  </si>
  <si>
    <t xml:space="preserve">Limited access to relevant dissemination platforms for research findings and recommendations
Limited participation of representatives of relevant stakeholders in dissemination platforms for research findings and recommendations
Limited consideration of the role of Research and its implications in Human Settlements developments.
Lack of appetite to utilise some of the research findings and recommendations 
</t>
  </si>
  <si>
    <t xml:space="preserve">Limited evidence based application of integrated and sustainable human settlements planning, policy development, implementation of programmes, and decision making.
</t>
  </si>
  <si>
    <t xml:space="preserve">National Human Settlements Research Strategy      
Provincial Research Agenda
Departmental Research Agenda
Memoranda of Understanding with Higher Learning Institutions
Departmental Research Integrity Committee
</t>
  </si>
  <si>
    <t xml:space="preserve">Dissemination of research findings through different platforms such as round table discussions,  IGR meetings, DDMs, Human Settlements Forums and human settlements conferences.   
Implementation of research and dissemination Framework  </t>
  </si>
  <si>
    <t xml:space="preserve">Quarterly
Quarterly
</t>
  </si>
  <si>
    <t xml:space="preserve">DCPM 1</t>
  </si>
  <si>
    <t xml:space="preserve">District Coordination and Project Management</t>
  </si>
  <si>
    <t xml:space="preserve">Inadequate support to the implementation of Human Settlements Projects </t>
  </si>
  <si>
    <t xml:space="preserve">Delays in closing out of projects 
Inadequate Human and financial resources within the programme  
Insufficient ISBT project initiation and awareness to beneficiaries
District municipalities not fulfilling their mandate for bulk infrastructure and partial services (VIP) 
Non alignment of funding from Municipalities with Grant funding received by the department ( USDG vs HSDG and MIG vs HSDG)
</t>
  </si>
  <si>
    <t xml:space="preserve">Compromised service delivery
Failure to meet set targets and an increase in the backlog 
Negative audit opinion
Social unrest  
Uncleared commitments on HSS
</t>
  </si>
  <si>
    <t xml:space="preserve">Project Close-out manual 
ISBT Guidelines 
District Wide Infrastructure Forum &amp; Municipal Managers Forum
District Development Model Framework
Provincial Municipal Infrastructure Forum (PMIF) 
Project Management Manual 
SLA with ISBT contractors 
 </t>
  </si>
  <si>
    <t xml:space="preserve">Chief Director: District Coordination and Project Management</t>
  </si>
  <si>
    <t xml:space="preserve">Develop ISBT framework agreement
Effective participation in  Municipal IGR Forums to ensure resolution to bulk infrastructure challenges 
</t>
  </si>
  <si>
    <t xml:space="preserve">31/12/2025
Quarterly 
</t>
  </si>
  <si>
    <t xml:space="preserve">DCPM 2</t>
  </si>
  <si>
    <t xml:space="preserve">Inability to pay contractors within 30 days 
</t>
  </si>
  <si>
    <t xml:space="preserve">Commitments and contractual obligation exceed the MTEF allocation 
Late approval of submitted documents ( extensions of time and addendums and PACOM submissions )
Delays between the certification of value created and the submission of claim for  processing.
Scope changes, but no addendum addressing the scope changes.
Expired contracts
Disputes between main contractor and sub contractor
Delays in finalisation of extension of time and variation order addendums.
Submission of invalid claims
Non registration of suppliers on CSD
Constant change of banking details by service providers 
Misalignment between cash flows, Business plan and Contractors PIPs
Contractors not registered on CSD
Banking details of Contractors not changed on time which delays the payment process</t>
  </si>
  <si>
    <t xml:space="preserve">Irregular, fruitless and wasteful expenditure 
Delays in service delivery 
</t>
  </si>
  <si>
    <r>
      <rPr>
        <sz val="11"/>
        <rFont val="Arial"/>
        <family val="2"/>
        <charset val="1"/>
      </rPr>
      <t xml:space="preserve">Project Implementation plans 
Commitment Strategy 
Approved business process
</t>
    </r>
    <r>
      <rPr>
        <sz val="11"/>
        <color rgb="FFFF0000"/>
        <rFont val="Arial"/>
        <family val="2"/>
        <charset val="1"/>
      </rPr>
      <t xml:space="preserve">
</t>
    </r>
    <r>
      <rPr>
        <sz val="11"/>
        <rFont val="Arial"/>
        <family val="2"/>
        <charset val="1"/>
      </rPr>
      <t xml:space="preserve">Accrual  Register
Claims aging reports
Shifting of funds 
</t>
    </r>
    <r>
      <rPr>
        <sz val="11"/>
        <color rgb="FFFF0000"/>
        <rFont val="Arial"/>
        <family val="2"/>
        <charset val="1"/>
      </rPr>
      <t xml:space="preserve">
</t>
    </r>
    <r>
      <rPr>
        <sz val="11"/>
        <rFont val="Arial"/>
        <family val="2"/>
        <charset val="1"/>
      </rPr>
      <t xml:space="preserve">
</t>
    </r>
  </si>
  <si>
    <t xml:space="preserve">Spreading out of the project scope over three years 
Phasing of the projects into manageable scope of works ( magnitude or size of the projects)
Termination of non preforming contractors
Effective financial  management to ensure claims are aligned with budget allocation 
Conduct  awareness on CSD issues and changing of banking details during  regional and contractor sessions  
</t>
  </si>
  <si>
    <t xml:space="preserve">Quarterly
Quarterly
Quarterly
Quarterly
Quarterly</t>
  </si>
  <si>
    <t xml:space="preserve">DCPM 3</t>
  </si>
  <si>
    <t xml:space="preserve">Rectification backlog</t>
  </si>
  <si>
    <t xml:space="preserve">Projects were not enrolled by NHBRC
National directive  limit  10% of HSDG ( Limited funding )
Lack of maintenance of state funded houses by beneficiaries
Improved norms and standards
Limitation  to contracted projects
Inability to honour contractual obligations
</t>
  </si>
  <si>
    <t xml:space="preserve">Social unrest 
Discontent amongst  beneficiaries
Reputational damage to the department
</t>
  </si>
  <si>
    <t xml:space="preserve">NHBRC quality Control through out the project lifeline  
Certification of foundation by certified engineers 
NHBRC guarantee of the structural defects 
Rectification Policy
Rectification strategy by National 
Implementation of the 10% national directive
Social facilitation
Project Management Manual
</t>
  </si>
  <si>
    <t xml:space="preserve">Strict implementation of Rectification Guidelines 
Monitoring and control of expenditure patterns against directive (10%)
Efficient and effective Project Management on rectification
Motivate for special funding outside HSDG
</t>
  </si>
  <si>
    <t xml:space="preserve">Director: PMU</t>
  </si>
  <si>
    <t xml:space="preserve">Quarterly 
Quarterly
Quarterly
30/09/2025
</t>
  </si>
  <si>
    <t xml:space="preserve">SM-01</t>
  </si>
  <si>
    <t xml:space="preserve">Strategy and Systems</t>
  </si>
  <si>
    <t xml:space="preserve">Cultural</t>
  </si>
  <si>
    <t xml:space="preserve">Inadequate Communication support services</t>
  </si>
  <si>
    <t xml:space="preserve">Unavailability of  resources
</t>
  </si>
  <si>
    <t xml:space="preserve">Lack of  public awareness and information about  the departmental programmes
Lack of visibility of the department
Reputational  damage 
</t>
  </si>
  <si>
    <t xml:space="preserve">Brand manual 
Provincial communication strategy
Departmental communication strategy
</t>
  </si>
  <si>
    <t xml:space="preserve">Working with other Housing Institutions to enhance advocacy programs 
Increasing the departmental social media platforms
Sharing of resources within the Ministry</t>
  </si>
  <si>
    <t xml:space="preserve">Director:  Communication
Management</t>
  </si>
  <si>
    <t xml:space="preserve">Quarterly 
Quarterly 
Quarterly 
</t>
  </si>
  <si>
    <t xml:space="preserve">SM-02</t>
  </si>
  <si>
    <t xml:space="preserve">Inaccurate and incomplete performance information reporting </t>
  </si>
  <si>
    <t xml:space="preserve">Moderate compliance with M&amp;E policy framework  
Limited commitment and accountability for performance information
Inconsistent reporting (output  against evidence )
Supporting evidence not properly maintained by programmes
</t>
  </si>
  <si>
    <t xml:space="preserve">Negative audit outcome on AOPO
Misrepresentation  of performance information
</t>
  </si>
  <si>
    <t xml:space="preserve">M&amp;E policy framework 
OPMS(Organisational performance Management system)  
Reviewed Business processes 
Consolidated listings for annual performance reports
Quarterly POE analysis report
Departmental performance improvement plan
</t>
  </si>
  <si>
    <t xml:space="preserve">Conduct  follow up of analysis report 
Conduct backend audit ( Prog 2,3 &amp; 4) 
</t>
  </si>
  <si>
    <t xml:space="preserve">Director: Institutional Performance Assessment and Programme Evaluation</t>
  </si>
  <si>
    <t xml:space="preserve">Quarterly
Bi Annual </t>
  </si>
  <si>
    <t xml:space="preserve">SM-03</t>
  </si>
  <si>
    <t xml:space="preserve">Non compliance with strategic planning time frames 
</t>
  </si>
  <si>
    <t xml:space="preserve">Fragmented planning processes
Non adherence to time frames
</t>
  </si>
  <si>
    <t xml:space="preserve">Credibility of strategic planning  process compromised
Late submission of strategic documents  
Negative audit findings
</t>
  </si>
  <si>
    <t xml:space="preserve">Revised framework for strategic plans and annual performance plans
Micro one on one strategic  planning sessions
Review of assessment by OTP and DPME</t>
  </si>
  <si>
    <t xml:space="preserve">An action plan with an itinerary will be circulated  in line with the provincial treasury planning budget process. 
Conduct trainings sessions on the revised strategic plan and annual performance plan framework with programmes through Macro and Micro one on one strategic  planning sessions
</t>
  </si>
  <si>
    <t xml:space="preserve">Director:  Strategic Planning</t>
  </si>
  <si>
    <t xml:space="preserve">30/07/2025
30/09/2025
</t>
  </si>
  <si>
    <t xml:space="preserve">SM-04</t>
  </si>
  <si>
    <t xml:space="preserve">Inconsistent stakeholder participation in integrated Human Settlements  delivery 
</t>
  </si>
  <si>
    <t xml:space="preserve">Inconsistent support by external  stakeholders in Human Settlements programmes 
 </t>
  </si>
  <si>
    <t xml:space="preserve">Non delivery of integrated human settlements mandate </t>
  </si>
  <si>
    <t xml:space="preserve">Stakeholder engagement and IGR strategy 
IGR tracking tool
Provincial and municipal IGR structures
</t>
  </si>
  <si>
    <r>
      <rPr>
        <sz val="11"/>
        <rFont val="Arial"/>
        <family val="2"/>
        <charset val="1"/>
      </rPr>
      <t xml:space="preserve">Implementation of the  stakeholder engagement and  IGR action plan
Co-ordinate  MEC (Member of the Executive Council) and MMC (Member of the Municipal Council) engagements
</t>
    </r>
    <r>
      <rPr>
        <sz val="11"/>
        <color rgb="FFFF0000"/>
        <rFont val="Arial"/>
        <family val="2"/>
        <charset val="1"/>
      </rPr>
      <t xml:space="preserve">
</t>
    </r>
    <r>
      <rPr>
        <sz val="11"/>
        <rFont val="Arial"/>
        <family val="2"/>
        <charset val="1"/>
      </rPr>
      <t xml:space="preserve">
</t>
    </r>
  </si>
  <si>
    <t xml:space="preserve">Director: Stakeholder Engagement</t>
  </si>
  <si>
    <t xml:space="preserve">Quarterly
Quarterly
</t>
  </si>
  <si>
    <t xml:space="preserve">Signature: __________________</t>
  </si>
  <si>
    <t xml:space="preserve">Date: __________________</t>
  </si>
  <si>
    <t xml:space="preserve">Link to Outcome</t>
  </si>
  <si>
    <t xml:space="preserve">Risk Name</t>
  </si>
  <si>
    <t xml:space="preserve">Impact Value (1-5)</t>
  </si>
  <si>
    <t xml:space="preserve">Inherent Risk Value</t>
  </si>
  <si>
    <t xml:space="preserve">Residual Risk Value</t>
  </si>
  <si>
    <t xml:space="preserve">Risk Appetite </t>
  </si>
  <si>
    <t xml:space="preserve">Risk Response Treatment</t>
  </si>
  <si>
    <t xml:space="preserve">Current Status </t>
  </si>
  <si>
    <t xml:space="preserve">Good Governance </t>
  </si>
  <si>
    <t xml:space="preserve">FR1</t>
  </si>
  <si>
    <t xml:space="preserve">Misrepresentation of facts …..
</t>
  </si>
  <si>
    <t xml:space="preserve">Submission of falsified Curriculum Vitae (s) 
Crafting and certification of fictitious variation orders/difficult terrain
Certification of fictitious milestones achievements
Submission of  fictitious Claims submitted by service provider to deliberate deception the Department . i.e duplicate claims , non existences , claims for the working that is done or uncompleted work 
Manipulation of beneficiary 
Lists for shelters .i.e Beneficairy that are not in need of temparary shelters reflecting on the request list 
Collusion between officials and service provider to submit fraudulent claims i.e  .inflated prices</t>
  </si>
  <si>
    <t xml:space="preserve">Fruitless and wasteful expenditure
No value created 
Financial Losses
Reputational damage to 
government/ Department 
Litgation cases</t>
  </si>
  <si>
    <t xml:space="preserve">Satisfactory</t>
  </si>
  <si>
    <t xml:space="preserve">FR2</t>
  </si>
  <si>
    <t xml:space="preserve">Bribery…..</t>
  </si>
  <si>
    <t xml:space="preserve">Bribery of Community Liason Officer(s) for employment of cheap labour and foreign employees.
Manipulation of  Project Steering Committee (PSC) by Councillor(s), Clo(s)  and Contractors
Prioritisation of un-approved beneficiaries on projects and manipulation of community employee lists
Possible manipulation of the Emerging contractors list to benefit towards the 30% subcontractors
Employees accepting bribes from contractors for fictitiious variation oders and to fast track payment of claims.</t>
  </si>
  <si>
    <t xml:space="preserve">Social unrest
Slow progress on site
Halted and blocked projects
Social unrest
Slow progress on site
Halted and blocked projects
Poor quality of projects
Delay in service delivery, blocked and halted projects
Poor quality on projects  </t>
  </si>
  <si>
    <t xml:space="preserve">FR3</t>
  </si>
  <si>
    <t xml:space="preserve">Collusion ….. To gain kickbacks </t>
  </si>
  <si>
    <t xml:space="preserve">Collusion between project managers and subcontractors
Officials may have opportunity to fast-track other invoices against others for kickbacks (rationalise the act)
Substitute materials while billing for higher quality or falsification of pay applications
Manipulation of procurement processes to favour specific bidder(s)/supplier(s).</t>
  </si>
  <si>
    <t xml:space="preserve">Image of Department is compromised/Dented (Labelling)
Poor control system</t>
  </si>
  <si>
    <t xml:space="preserve">FR4</t>
  </si>
  <si>
    <t xml:space="preserve">FR5</t>
  </si>
  <si>
    <t xml:space="preserve">FR6</t>
  </si>
  <si>
    <t xml:space="preserve">FR7</t>
  </si>
  <si>
    <t xml:space="preserve">FR8</t>
  </si>
  <si>
    <t xml:space="preserve">FR9</t>
  </si>
  <si>
    <t xml:space="preserve">FR10</t>
  </si>
  <si>
    <t xml:space="preserve">FR11</t>
  </si>
  <si>
    <t xml:space="preserve">FR12</t>
  </si>
  <si>
    <t xml:space="preserve">FR13</t>
  </si>
  <si>
    <t xml:space="preserve">FR14</t>
  </si>
  <si>
    <t xml:space="preserve">FR15</t>
  </si>
  <si>
    <t xml:space="preserve">FR16</t>
  </si>
  <si>
    <t xml:space="preserve">FR17</t>
  </si>
  <si>
    <t xml:space="preserve">FR18</t>
  </si>
  <si>
    <t xml:space="preserve">FR19</t>
  </si>
  <si>
    <t xml:space="preserve">FR20</t>
  </si>
  <si>
    <t xml:space="preserve">FR21</t>
  </si>
  <si>
    <t xml:space="preserve">FR22</t>
  </si>
  <si>
    <t xml:space="preserve">FR23</t>
  </si>
  <si>
    <t xml:space="preserve">FR24</t>
  </si>
  <si>
    <t xml:space="preserve">FR25</t>
  </si>
  <si>
    <t xml:space="preserve">FR26</t>
  </si>
  <si>
    <t xml:space="preserve">FR27</t>
  </si>
  <si>
    <t xml:space="preserve">FR28</t>
  </si>
  <si>
    <t xml:space="preserve">FR29</t>
  </si>
  <si>
    <t xml:space="preserve">FR30</t>
  </si>
  <si>
    <t xml:space="preserve">FR31</t>
  </si>
  <si>
    <t xml:space="preserve">FR32</t>
  </si>
  <si>
    <t xml:space="preserve">FR33</t>
  </si>
  <si>
    <t xml:space="preserve">FR34</t>
  </si>
  <si>
    <t xml:space="preserve">FR35</t>
  </si>
  <si>
    <t xml:space="preserve">Chief Directorate </t>
  </si>
  <si>
    <t xml:space="preserve">Risk No.</t>
  </si>
  <si>
    <t xml:space="preserve">Action Owner</t>
  </si>
  <si>
    <t xml:space="preserve">Reasons for deviation &amp; recovery plan</t>
  </si>
  <si>
    <t xml:space="preserve">New Timeline </t>
  </si>
  <si>
    <t xml:space="preserve">Action in Quarter?</t>
  </si>
  <si>
    <t xml:space="preserve">Actions Completed?</t>
  </si>
  <si>
    <t xml:space="preserve">Residual Risk Value as at 30 June 2025</t>
  </si>
  <si>
    <t xml:space="preserve">CS</t>
  </si>
  <si>
    <t xml:space="preserve">Continuous implementation of EPMDS quality control checklist 
</t>
  </si>
  <si>
    <t xml:space="preserve">Quarterly
</t>
  </si>
  <si>
    <t xml:space="preserve">Quality control check list is part of the submission of PMDS documents. PMDS Unit does not accept documents without the quality control checklist.</t>
  </si>
  <si>
    <t xml:space="preserve">None</t>
  </si>
  <si>
    <t xml:space="preserve">Yes </t>
  </si>
  <si>
    <t xml:space="preserve">Completed</t>
  </si>
  <si>
    <t xml:space="preserve">The Risk has been tolerated in as far as the Risk Tolerance level, however risk is still managed.</t>
  </si>
  <si>
    <t xml:space="preserve">Top Management and SMS members were trained on eleave and currently using the system 15 May 2025. 
All other employees of the department used the e-leave system from the 01 September 2025.</t>
  </si>
  <si>
    <t xml:space="preserve">Director : Legal
</t>
  </si>
  <si>
    <t xml:space="preserve">Still monitoring the existing controls for the first and second quarter, a new monitoring control will be implemented when the need arise in the third quarter.</t>
  </si>
  <si>
    <t xml:space="preserve">Inadequate management of Departmental records and knowledge</t>
  </si>
  <si>
    <t xml:space="preserve">Conduct  awarenesses on records management
</t>
  </si>
  <si>
    <t xml:space="preserve">Quarterly
</t>
  </si>
  <si>
    <t xml:space="preserve">An awareness session was conducted in collaboration with change management unit with the aim of introducing a new departmental records management system (MemoApp). </t>
  </si>
  <si>
    <t xml:space="preserve">Monitor the  implementation of the records management policy  </t>
  </si>
  <si>
    <t xml:space="preserve">All staff members were onboarded into a Mema-App system and some of the directorates' file plan has been reviewed and configured on the systems. The review of the file plan for other units is still on-going.
All users were also training on the use of the systems.</t>
  </si>
  <si>
    <t xml:space="preserve">Digitise and automate records management  </t>
  </si>
  <si>
    <t xml:space="preserve">The Memo App has been implemented to automate records management processes within the department. The implementation of this system will  streamline records-keeping, improve efficiency and ensure that all departmental records are managed effectively. </t>
  </si>
  <si>
    <t xml:space="preserve">HSFP </t>
  </si>
  <si>
    <t xml:space="preserve">Establishment and monitoring of  Beneficiary Allocation Committees to ensure fairness in the allocation process and to avoid possible misallocation and wrongful occupation of houses</t>
  </si>
  <si>
    <t xml:space="preserve">BAC were established in the following municipalities:  
- Resuscitation of BAC in Sundays River LM,
Beneficiary Correct Occupation (BCO) was done in the following Municipality: 
- Elundini Local Municipality phase 2 of the Ugie project.
- Tracing of Missing Beneficiaries in Matatiele Local Municipality</t>
  </si>
  <si>
    <r>
      <rPr>
        <sz val="11"/>
        <rFont val="Arial"/>
        <family val="2"/>
        <charset val="1"/>
      </rPr>
      <t xml:space="preserve">Provide support to Municipalities regarding Beneficiary Administration 
</t>
    </r>
    <r>
      <rPr>
        <sz val="11"/>
        <color rgb="FF99CC00"/>
        <rFont val="Arial"/>
        <family val="2"/>
        <charset val="1"/>
      </rPr>
      <t xml:space="preserve">
</t>
    </r>
  </si>
  <si>
    <t xml:space="preserve">Beneficiary Allocation policy was conducted with Capacity Building in the following municipalities: 
- Ndlambe Local Municipality.</t>
  </si>
  <si>
    <t xml:space="preserve">Inadequate implementation of  facilitation interventions
</t>
  </si>
  <si>
    <t xml:space="preserve">Implementation of the Social Facilitation Strategy</t>
  </si>
  <si>
    <t xml:space="preserve">Social facilitation strategy has been implemented in various departmental projects during quarter under review where five (5) interventions were implemented to respond on social issues</t>
  </si>
  <si>
    <t xml:space="preserve">Acquire lists of MSME contractors appointed by the region who are utilizing 40% of the Human Settlements’ Conditional Grant 
</t>
  </si>
  <si>
    <t xml:space="preserve">Quarterly
</t>
  </si>
  <si>
    <r>
      <rPr>
        <sz val="11"/>
        <color theme="1"/>
        <rFont val="Arial"/>
        <family val="2"/>
        <charset val="1"/>
      </rPr>
      <t xml:space="preserve">List of MSMEs and the Category B contractors appointed from the Framework Agreement with between one and one hundred (01 - 100) units was acquired from the Directorate of Supply Chain Management and the regions. The list will be utilised to determine percentage of the amount paid to them relative to the Human Settlements Conditional Grant.   </t>
    </r>
    <r>
      <rPr>
        <b val="true"/>
        <sz val="11"/>
        <color rgb="FF00B050"/>
        <rFont val="Arial"/>
        <family val="2"/>
        <charset val="1"/>
      </rPr>
      <t xml:space="preserve"> </t>
    </r>
  </si>
  <si>
    <t xml:space="preserve">Enhance working relationship with the Construction Education Training Authority (CETA) to receive funding permanently for funding the learnership and apprenticeship programmes.
</t>
  </si>
  <si>
    <t xml:space="preserve">CETA funding for eighty (80) learnership opportunities successfully secured</t>
  </si>
  <si>
    <t xml:space="preserve">No </t>
  </si>
  <si>
    <t xml:space="preserve">Allocation of funding from OPSAP</t>
  </si>
  <si>
    <t xml:space="preserve">Annually </t>
  </si>
  <si>
    <t xml:space="preserve">R1.5 million has been approved for allocation from the OPSCAP  to carry out the Apprenticeship programme. Through this fund, it is anticipated that the Directorate will be able to procure the training service provider, however, there has been a delay in the processing thereof.</t>
  </si>
  <si>
    <t xml:space="preserve">Appointed contractors may not adequately report on the number of jobs created</t>
  </si>
  <si>
    <t xml:space="preserve">The Directorate of Emerging Contractors in cooperation with the Project Managers, EPWP Coordinators, Hands On Support and ECDPWI to collect compliant data from the appointed contractors</t>
  </si>
  <si>
    <t xml:space="preserve">Director: Emerging Contractor Development</t>
  </si>
  <si>
    <r>
      <rPr>
        <sz val="11"/>
        <color theme="1"/>
        <rFont val="Arial"/>
        <family val="2"/>
        <charset val="1"/>
      </rPr>
      <t xml:space="preserve">Arising from the cooperation with the ECDPWI there has been an improvement in EPWP reporting. This cooperation resulted in the Department exceeding the National Department Public Works &amp; Infrastructure half year target of five hundred by eighty eighty (88). The Department is on track to achieve the provincial target of five thousand eight hundred and thirty four (5 834).</t>
    </r>
    <r>
      <rPr>
        <b val="true"/>
        <sz val="11"/>
        <color rgb="FFFFC000"/>
        <rFont val="Arial"/>
        <family val="2"/>
        <charset val="1"/>
      </rPr>
      <t xml:space="preserve">  </t>
    </r>
  </si>
  <si>
    <t xml:space="preserve">Prepare an EPWP compliance checklist template for sign off by Project Manager, EPWP coordinator and the Regional Director.</t>
  </si>
  <si>
    <t xml:space="preserve">EPWP Checklists was prepared and distributed to all Regional Directors.</t>
  </si>
  <si>
    <t xml:space="preserve">Acquire labour for employment in projects when and where required from the Department of Employment and Labour.</t>
  </si>
  <si>
    <t xml:space="preserve">There has been an agreement with the Department of Labour and Employment to access its database of unemployed personnel for the Departmental projects should the need arise.</t>
  </si>
  <si>
    <t xml:space="preserve"> Conduct a survey amongst the contractors appointed in all Departmental Regions to determine percentage of Black Industrialists whose building materials is being procured by appointed contractor</t>
  </si>
  <si>
    <t xml:space="preserve">31/03/2025</t>
  </si>
  <si>
    <t xml:space="preserve">on the 5th August 2025 the survey questionnaire was emailed to one hundred and thirty eight (138) contractors appointed by the Department to determine if they procure building materials from the Black Industrialists. To date six (06) contractors have responded. The Directorate will continue engaging contractors to cooperate in this regard.     </t>
  </si>
  <si>
    <t xml:space="preserve">Report on percentage of Black Industrialists whose building materials is procured by the contractors appointed</t>
  </si>
  <si>
    <t xml:space="preserve">The report is dependent on the feedback from contractors relative to the procurement of the building material supplies from the Black Industrialists.  </t>
  </si>
  <si>
    <t xml:space="preserve">Recommend mechanisms for policy Implementation mechanism.</t>
  </si>
  <si>
    <t xml:space="preserve">No recommendation at this stage</t>
  </si>
  <si>
    <t xml:space="preserve">The are no new projects submitted for the quarter. The appointment of the Assessment committees members is underway. 
The department is dealing with unblocking of blocked projects, the funding adjustments were done through the adhoc process for MEC approval. 
Currently there are no delays in the process.</t>
  </si>
  <si>
    <t xml:space="preserve">HSIP</t>
  </si>
  <si>
    <t xml:space="preserve">Inadequate provision of temporary relief to  emergency housing cases        </t>
  </si>
  <si>
    <t xml:space="preserve">Engage and support relevant stakeholders on policy implementation</t>
  </si>
  <si>
    <t xml:space="preserve">There were no policy engagements as the accredited Municipalities are independently performing the Emergency Housing function and accessing funding directly from National Department of Human Settlements.Non- accredited Municipalities are able to perform functions associated with the provision of emergency housing programme by the Province. </t>
  </si>
  <si>
    <t xml:space="preserve">N/A</t>
  </si>
  <si>
    <t xml:space="preserve">Conduct workshops for appointed CRO's to reinforce the understanding </t>
  </si>
  <si>
    <t xml:space="preserve">There were no new CRO's appointed hence no workshops conducted </t>
  </si>
  <si>
    <t xml:space="preserve">Engage stakeholders to align to the implementation of the EPHP</t>
  </si>
  <si>
    <t xml:space="preserve">The current projects under implementation are implemented in line with the policy hence no need for engagement of stakeholders</t>
  </si>
  <si>
    <t xml:space="preserve">Establishment of the CRO panel  for capacity enhancement through SCM processes</t>
  </si>
  <si>
    <t xml:space="preserve">31/03/2026</t>
  </si>
  <si>
    <t xml:space="preserve">Draft Terms of Reference in place   </t>
  </si>
  <si>
    <t xml:space="preserve">Fourth quarter</t>
  </si>
  <si>
    <t xml:space="preserve">Inability to  upgrade informal  settlements  to the desired phases 1, 2 &amp; 3
</t>
  </si>
  <si>
    <t xml:space="preserve">Review province wide upgrading strategy to align with DORA and the National Human Settlements upgrading framework </t>
  </si>
  <si>
    <t xml:space="preserve">30/09/2025</t>
  </si>
  <si>
    <t xml:space="preserve">The department is reviewing the strategy for the MTDP following the reduction of the funding from National</t>
  </si>
  <si>
    <t xml:space="preserve">The department is awaiting clarity on outer years funding</t>
  </si>
  <si>
    <t xml:space="preserve">Next Quarter</t>
  </si>
  <si>
    <t xml:space="preserve">Not Completed</t>
  </si>
  <si>
    <t xml:space="preserve">Strengthen partnerships with delivery stakeholders</t>
  </si>
  <si>
    <t xml:space="preserve">The internal partnerships have been strengthened with Land Acquisition, Social Facilitation and Regions.
</t>
  </si>
  <si>
    <t xml:space="preserve">Enhance social facilitation and awareness</t>
  </si>
  <si>
    <t xml:space="preserve">The consolidated departmental social facilitation strategy is being implemented through the regional social facilitation to include the UISP.</t>
  </si>
  <si>
    <t xml:space="preserve">Enforcement of  contractual  terms and conditions </t>
  </si>
  <si>
    <t xml:space="preserve">All contracts have the terms of performance effectively enforced.</t>
  </si>
  <si>
    <t xml:space="preserve">HSPA</t>
  </si>
  <si>
    <t xml:space="preserve">Inadequate devolution of land parcels to municipalities</t>
  </si>
  <si>
    <t xml:space="preserve">Engage municipalities to provide council resolutions/regulations and or development plans inline with the land to be devolved</t>
  </si>
  <si>
    <t xml:space="preserve">Quarterly
</t>
  </si>
  <si>
    <t xml:space="preserve">Council resolutions provided</t>
  </si>
  <si>
    <t xml:space="preserve">No deviation</t>
  </si>
  <si>
    <t xml:space="preserve">Engage state attorney to ensure timeous appointment of correspondents  </t>
  </si>
  <si>
    <t xml:space="preserve">Engagements are being done with the State Attorney</t>
  </si>
  <si>
    <t xml:space="preserve">HSPA- 02</t>
  </si>
  <si>
    <t xml:space="preserve">Provision of  support to municipalities to ensure completeness of  beneficiary list</t>
  </si>
  <si>
    <t xml:space="preserve">Quarterly
Quarterly                
Quarterly
</t>
  </si>
  <si>
    <t xml:space="preserve">The following Municipalities were supported during the 2nd quarter and this culminated into compilation and submission of Beneficiary lists and signed deeds of sale for transfer and title deeds registration purposes:
- BCMM
- Enoch Mgijima LM</t>
  </si>
  <si>
    <t xml:space="preserve">Awareness on the acceptance of the stand</t>
  </si>
  <si>
    <t xml:space="preserve">Quarterly
</t>
  </si>
  <si>
    <t xml:space="preserve">Engagement sessions have been held with affected Regions and Municipalities on awareness drives pertaining to acceptance of stands. The Programme is awaiting submission of identified areas by Municipalities:
- Chris Hani
- Sarah Baartman</t>
  </si>
  <si>
    <t xml:space="preserve">HSPA- 03</t>
  </si>
  <si>
    <t xml:space="preserve">Continuous engagements  with First Home Finance stakeholders </t>
  </si>
  <si>
    <t xml:space="preserve">Awareness engagements are conducted on a continuous basis and sessions were held with various stakeholders in conjunction with Capacity Building.A total of (5) different stakeholders were presented with FHF policy.</t>
  </si>
  <si>
    <t xml:space="preserve">Align budget to set targets</t>
  </si>
  <si>
    <t xml:space="preserve">The plan was to against a planned target of  (78)  and we achieved (68). Under achievement by (10) disbursements.</t>
  </si>
  <si>
    <t xml:space="preserve">The deviation was as a result of late submission of outstanding documents (invoices) by conveyancers.</t>
  </si>
  <si>
    <t xml:space="preserve">HSPA- 04</t>
  </si>
  <si>
    <t xml:space="preserve">Currently conducting pre hearing conference and inspection of rental dwellings.87 were resolved by tribunal through full hearing.</t>
  </si>
  <si>
    <t xml:space="preserve">FMS</t>
  </si>
  <si>
    <r>
      <rPr>
        <sz val="11"/>
        <rFont val="Arial"/>
        <family val="2"/>
        <charset val="1"/>
      </rPr>
      <t xml:space="preserve">Non adherence to SCM processes</t>
    </r>
    <r>
      <rPr>
        <sz val="11"/>
        <color rgb="FFFF0000"/>
        <rFont val="Arial"/>
        <family val="2"/>
        <charset val="1"/>
      </rPr>
      <t xml:space="preserve"> </t>
    </r>
    <r>
      <rPr>
        <sz val="11"/>
        <rFont val="Arial"/>
        <family val="2"/>
        <charset val="1"/>
      </rPr>
      <t xml:space="preserve">and procedures
</t>
    </r>
    <r>
      <rPr>
        <sz val="11"/>
        <color rgb="FFFF0000"/>
        <rFont val="Arial"/>
        <family val="2"/>
        <charset val="1"/>
      </rPr>
      <t xml:space="preserve">
</t>
    </r>
  </si>
  <si>
    <r>
      <rPr>
        <sz val="11"/>
        <rFont val="Arial"/>
        <family val="2"/>
        <charset val="1"/>
      </rPr>
      <t xml:space="preserve">Training of SCM practitioners and Bid Committee Members 
</t>
    </r>
    <r>
      <rPr>
        <sz val="11"/>
        <color theme="1"/>
        <rFont val="Arial"/>
        <family val="2"/>
        <charset val="1"/>
      </rPr>
      <t xml:space="preserve">
</t>
    </r>
    <r>
      <rPr>
        <sz val="11"/>
        <rFont val="Arial"/>
        <family val="2"/>
        <charset val="1"/>
      </rPr>
      <t xml:space="preserve">
</t>
    </r>
  </si>
  <si>
    <t xml:space="preserve">31/12/2025
</t>
  </si>
  <si>
    <t xml:space="preserve">In quarter 2  no trainings were planned for SCM officials and Bid Committee members. Provincial Treasury will provide SCM And Bid Committee  training in quarter 4</t>
  </si>
  <si>
    <t xml:space="preserve">Standard Operating Procedures to be finalised and communicated </t>
  </si>
  <si>
    <t xml:space="preserve">30/06/2025
</t>
  </si>
  <si>
    <t xml:space="preserve">The Standard Operating Procedures have been reviewed and communicated during quarter 1. Updating of the Standard Operating Procedures is ongoing due to the new circulars and Instruction notes issued by Provincial Treasury. </t>
  </si>
  <si>
    <t xml:space="preserve">Misuse of government vehicles </t>
  </si>
  <si>
    <t xml:space="preserve">Conduct awareness sessions on Fleet Management Policy </t>
  </si>
  <si>
    <r>
      <rPr>
        <sz val="11"/>
        <rFont val="Arial"/>
        <family val="2"/>
        <charset val="1"/>
      </rPr>
      <t xml:space="preserve">Quarterly
</t>
    </r>
    <r>
      <rPr>
        <sz val="11"/>
        <color rgb="FFFF0000"/>
        <rFont val="Arial"/>
        <family val="2"/>
        <charset val="1"/>
      </rPr>
      <t xml:space="preserve">
</t>
    </r>
    <r>
      <rPr>
        <sz val="11"/>
        <rFont val="Arial"/>
        <family val="2"/>
        <charset val="1"/>
      </rPr>
      <t xml:space="preserve">
</t>
    </r>
  </si>
  <si>
    <t xml:space="preserve">Awareness campaigns are conducted during asset verification and was done  during the 2nd quarter.</t>
  </si>
  <si>
    <t xml:space="preserve">Implement disciplinary processes as per departmental Fleet Management Policy </t>
  </si>
  <si>
    <t xml:space="preserve">There were no incidents relating to misuse of state vehicles during the 2nd quarter. There were two incidents of hijacking of state vehicles in OR Tambo and 1 at Head Office during the  2nd quarter.</t>
  </si>
  <si>
    <t xml:space="preserve">Review tracker reports and report on identified exceptions </t>
  </si>
  <si>
    <t xml:space="preserve">There were no exceptions identified on the tracker reports during this period.</t>
  </si>
  <si>
    <t xml:space="preserve">Conduct awareness campaigns  on asset management during asset verification.</t>
  </si>
  <si>
    <t xml:space="preserve">bi-annually</t>
  </si>
  <si>
    <t xml:space="preserve">Awareness campaigns were conducted during asset verification  in quarter 2.</t>
  </si>
  <si>
    <t xml:space="preserve">Issue out circular on asset management</t>
  </si>
  <si>
    <t xml:space="preserve">A Circular on Safe Guarding of state No circulars was issued during this quarter</t>
  </si>
  <si>
    <t xml:space="preserve">Timeous reporting of asset losses </t>
  </si>
  <si>
    <t xml:space="preserve">1 loss of  an HP Laptop was reported during this quarter </t>
  </si>
  <si>
    <t xml:space="preserve">Implementation of recommendations from investigations </t>
  </si>
  <si>
    <t xml:space="preserve">No investigations on losses have been finalised</t>
  </si>
  <si>
    <r>
      <rPr>
        <sz val="11"/>
        <color theme="1"/>
        <rFont val="Arial"/>
        <family val="2"/>
        <charset val="1"/>
      </rPr>
      <t xml:space="preserve">Conduct awareness sessions for end users on proper processes for submission of invoices 
</t>
    </r>
    <r>
      <rPr>
        <b val="true"/>
        <sz val="11"/>
        <color rgb="FFFF0000"/>
        <rFont val="Arial"/>
        <family val="2"/>
        <charset val="1"/>
      </rPr>
      <t xml:space="preserve">
</t>
    </r>
    <r>
      <rPr>
        <sz val="11"/>
        <color theme="1"/>
        <rFont val="Arial"/>
        <family val="2"/>
        <charset val="1"/>
      </rPr>
      <t xml:space="preserve">
</t>
    </r>
  </si>
  <si>
    <r>
      <rPr>
        <sz val="11"/>
        <color theme="1"/>
        <rFont val="Arial"/>
        <family val="2"/>
        <charset val="1"/>
      </rPr>
      <t xml:space="preserve">Quarterly
</t>
    </r>
    <r>
      <rPr>
        <b val="true"/>
        <sz val="11"/>
        <color rgb="FFFF0000"/>
        <rFont val="Arial"/>
        <family val="2"/>
        <charset val="1"/>
      </rPr>
      <t xml:space="preserve">
</t>
    </r>
  </si>
  <si>
    <t xml:space="preserve">Awareness sessions for end users on proper processes for submission of invoices was done in quarter 2.
</t>
  </si>
  <si>
    <t xml:space="preserve">Engage service providers on submission of invoices </t>
  </si>
  <si>
    <t xml:space="preserve">Monthly</t>
  </si>
  <si>
    <t xml:space="preserve">Engagement with  service providers on timeous  submission of invoices was done.</t>
  </si>
  <si>
    <t xml:space="preserve">Inadequate  pay point management</t>
  </si>
  <si>
    <t xml:space="preserve">The Risk has been tolerated in as far as the Risk Tolerance level, however risk is still managed.  </t>
  </si>
  <si>
    <t xml:space="preserve">The Paypoint Management Policy has been   implemented. The policy is monitored on monthly basis</t>
  </si>
  <si>
    <t xml:space="preserve">Quarterly reports on weaknesses identified within policies and processes
</t>
  </si>
  <si>
    <t xml:space="preserve">Quarterly
Monthly
</t>
  </si>
  <si>
    <t xml:space="preserve">Quarterly reports on weaknesses identified within policies and processes were submitted in quarter 2.
</t>
  </si>
  <si>
    <t xml:space="preserve">Monitoring of AIP action plans to address root causes of findings</t>
  </si>
  <si>
    <t xml:space="preserve">Monitoring of AIP action plans to address root causes of findings was done</t>
  </si>
  <si>
    <t xml:space="preserve">Supporting schedules signed off as evidence of review by relevant Chief Directorates </t>
  </si>
  <si>
    <t xml:space="preserve">Supporting schedules signed off as evidence of review by relevant Chief Directorates was done during this period. </t>
  </si>
  <si>
    <t xml:space="preserve">Sourcing and implementation of  Electronic contract management system </t>
  </si>
  <si>
    <t xml:space="preserve">Quarterly 
</t>
  </si>
  <si>
    <t xml:space="preserve">The Enterprise Resourcing Planning system  development has  incorporated the Electronic Contract Management System </t>
  </si>
  <si>
    <t xml:space="preserve">Verification of bid status report for awarded contracts and variation order register </t>
  </si>
  <si>
    <t xml:space="preserve">The bid status report for awarded contracts and variation order register were verified in quarter 2.</t>
  </si>
  <si>
    <t xml:space="preserve">Communication of cost containment measures to all Staff</t>
  </si>
  <si>
    <t xml:space="preserve">30/06/2025</t>
  </si>
  <si>
    <t xml:space="preserve">The cost containment policy has been reviewed  as per  the new guidelines  issued by National Treasury and communicated </t>
  </si>
  <si>
    <t xml:space="preserve">Review of S&amp;T Policy to be aligned with cost containment measures</t>
  </si>
  <si>
    <t xml:space="preserve">The S&amp;T Policy is still being reviewed </t>
  </si>
  <si>
    <t xml:space="preserve">Reporting of travel expenditure to responsible programme managers</t>
  </si>
  <si>
    <t xml:space="preserve">Reporting and monitoring of  travel expenditure is done through IYM </t>
  </si>
  <si>
    <t xml:space="preserve">HSDPP</t>
  </si>
  <si>
    <t xml:space="preserve">Fragmented  planning between spheres of government leading to misalignment of plans
</t>
  </si>
  <si>
    <t xml:space="preserve">Participation in IGR planning forums  (National, Provincial and Municipal Infrastructure Planning Fora, Provincial Cluster Working Groups, District Development Model fora, IDP Fora other planning working streams).
</t>
  </si>
  <si>
    <t xml:space="preserve">Quarterly 
 </t>
  </si>
  <si>
    <t xml:space="preserve">Participation in the IDP assessment session assisting the Municipalities in the alignment of HSSPs with Municipal IDPs and SDFs                                                                                                                                                                     </t>
  </si>
  <si>
    <t xml:space="preserve">Provide municipalities with technical support on development Human Settlements Sector Plans</t>
  </si>
  <si>
    <t xml:space="preserve">20 draft HSSPs  were developed and 6 have been presented and endorsed by Municipal Councils</t>
  </si>
  <si>
    <t xml:space="preserve">Development of the Human Settlements Development Grant (HSDG) and Informal Settlements Upgrading Partnership Grant (ISUPG) Business Plans</t>
  </si>
  <si>
    <t xml:space="preserve">Draft HSDG and ISUPG Business Plan for 2026/27 submitted and is aligned with IDPs</t>
  </si>
  <si>
    <t xml:space="preserve">Inadequate capacity building  and support to Municipalities to perform Human Settlements functions 
</t>
  </si>
  <si>
    <t xml:space="preserve">Advocacy and Consultation through capacity building workshops with the external stakeholders  </t>
  </si>
  <si>
    <t xml:space="preserve">Quarterly 
</t>
  </si>
  <si>
    <t xml:space="preserve">Capacitated Municipalities on the following programmes i.e. Housing Needs Register, Accreditation Programme, Social and Rental Housing, Destitute and Vulnerable Groups, Beneficiary Management Policy, Beneficiary Correct Occupation, Project application process, (ISBT)  innovative sustainable building technology, Social Facilitation  and Customer Care, Emergency Housing.  Supported KSD and Sundays River on the establishment of allocations committee                                                                                            
  </t>
  </si>
  <si>
    <t xml:space="preserve">Provide support towards accreditation of new Municipalities and Monitoring the performance of accredited municipalities</t>
  </si>
  <si>
    <t xml:space="preserve">Post-Accreditation support provided to BCMM and NMBM regarding programme implementation and quarterly reporting 
Pre- accreditation support provided to Enoch Mgijima, Matatile, Umzimvumbu and Kouga LM for the reviewal of HSSPs and the development of Accreditation Business Plan
Pre- assessment for Kouga and KSD LM has been conducted and feedback provided. 
</t>
  </si>
  <si>
    <t xml:space="preserve">Enhance the functioning of the National Housing Needs Register </t>
  </si>
  <si>
    <t xml:space="preserve">Providing hand on support through ILIMA campaign and awareness held for Nyandeni, Ngqushwa and Mhlontlo Local Municipalities
NHNR and HSS systems training conducted for 4  Municipalities.                                                                                                                              
Resuscitation of the Beneficiary Allocations Committee for  Sundays River and KSD Local Municipalities.</t>
  </si>
  <si>
    <t xml:space="preserve">Implementation of Short learning programs as per Service Level Agreement with Institution of Higher Learning to capacitate municipalities </t>
  </si>
  <si>
    <t xml:space="preserve">Two Short Learning Programmes conducted for Councillors and Traditional Leaders on the 22-27 September 2025 as follows: Informal Settlements Upgrading and Theories and Managing Public Participation in Human Settlements Delivery.</t>
  </si>
  <si>
    <t xml:space="preserve">Develop  a capacity building plan </t>
  </si>
  <si>
    <t xml:space="preserve">Non adherence to policies and guidelines
</t>
  </si>
  <si>
    <t xml:space="preserve">Conduct policy roll out, interpretation and refresher workshops
</t>
  </si>
  <si>
    <t xml:space="preserve">The department rolled out Beneficiary Management  and Title Deeds Policies to 8 municipalities  to empower Political  Leaders and  Municipal Officials.                                                        </t>
  </si>
  <si>
    <t xml:space="preserve">Limited use of research findings and recommendations in human settlements development activities</t>
  </si>
  <si>
    <t xml:space="preserve">Dissemination of research findings through different platforms such as round table discussions,  IGR meetings, DDMs, Human Settlements Forums and human settlements conferences.    </t>
  </si>
  <si>
    <r>
      <rPr>
        <sz val="11"/>
        <rFont val="Arial"/>
        <family val="2"/>
        <charset val="1"/>
      </rPr>
      <t xml:space="preserve">Quarterly
</t>
    </r>
    <r>
      <rPr>
        <sz val="11"/>
        <color rgb="FFFF0000"/>
        <rFont val="Arial"/>
        <family val="2"/>
        <charset val="1"/>
      </rPr>
      <t xml:space="preserve">
</t>
    </r>
    <r>
      <rPr>
        <sz val="11"/>
        <rFont val="Arial"/>
        <family val="2"/>
        <charset val="1"/>
      </rPr>
      <t xml:space="preserve">
</t>
    </r>
  </si>
  <si>
    <t xml:space="preserve">Dissemination of study  findings and recommendations  on  "Assessing living conditions of communities where government subsidised  houses were constructed with Asbestos Materials in the Eastern Cape Province", and " A study assessing conditions of mud houses in Rural and Urban space of the Eastern Cape",  were done internally and in 2 Municipalities. </t>
  </si>
  <si>
    <t xml:space="preserve">Implementation of research and dissemination Framework  </t>
  </si>
  <si>
    <t xml:space="preserve">Research studies were dissemination various forum accordance with dissemination framework</t>
  </si>
  <si>
    <t xml:space="preserve">DC&amp;PM </t>
  </si>
  <si>
    <t xml:space="preserve">Develop ISBT framework agreement
</t>
  </si>
  <si>
    <t xml:space="preserve">31/12/2025</t>
  </si>
  <si>
    <t xml:space="preserve">A procurement strategy and Terms of reference for the framework have been developed. And have included framework in the mid-term adjustment of the procurement plan.</t>
  </si>
  <si>
    <t xml:space="preserve">Effective participation in  Municipal IGR Forums to ensure resolution to bulk infrastructure challenges </t>
  </si>
  <si>
    <t xml:space="preserve">Regions attend IGR Forums, MMC forum, Executive mayoral forums and cluster forums in their respective regions and bulk infrastructure challenges are being attended to and resolved in the IGR forums.</t>
  </si>
  <si>
    <t xml:space="preserve">Spreading out of the project scope over three years </t>
  </si>
  <si>
    <r>
      <rPr>
        <sz val="11"/>
        <rFont val="Arial"/>
        <family val="2"/>
        <charset val="1"/>
      </rPr>
      <t xml:space="preserve">The framework agreement is in place to address spreading out of project scope over three years,</t>
    </r>
    <r>
      <rPr>
        <sz val="11"/>
        <color rgb="FFFF0000"/>
        <rFont val="Arial"/>
        <family val="2"/>
        <charset val="1"/>
      </rPr>
      <t xml:space="preserve"> </t>
    </r>
  </si>
  <si>
    <t xml:space="preserve">Phasing of the projects into manageable scope of works ( magnitude or size of the projects)</t>
  </si>
  <si>
    <t xml:space="preserve">The Frame work agreement is being utilised to address issues of phasing of the projects into manageable scope of works.  After the department issued a letter notifying OR Tambo District Mun they have submitted a response and the dep is busy with consideration of their response which will be followed by an addendum.</t>
  </si>
  <si>
    <t xml:space="preserve">Termination of non preforming contractors</t>
  </si>
  <si>
    <t xml:space="preserve">Termination letter for the Mzimvubu Municipality for all  projects that are not moving. </t>
  </si>
  <si>
    <t xml:space="preserve">Effective financial  management to ensure claims are aligned with budget allocation</t>
  </si>
  <si>
    <t xml:space="preserve">The programme is effectively managing and ensuring that claims spend according to the budget allocation.</t>
  </si>
  <si>
    <t xml:space="preserve">Conduct  awareness on CSD issues and changing of banking details during  regional and contractor sessions </t>
  </si>
  <si>
    <t xml:space="preserve">The Contractors are engaged through regional and provincial contractor meetings about CSD issues and changing of banking details.</t>
  </si>
  <si>
    <t xml:space="preserve">Strict implementation of Rectification Guidelines </t>
  </si>
  <si>
    <t xml:space="preserve">Quarterly
</t>
  </si>
  <si>
    <t xml:space="preserve">Projects are being implemented as per the 10% directive which is a National guideline, </t>
  </si>
  <si>
    <t xml:space="preserve">Monitoring and control of expenditure patterns against directive (10%)</t>
  </si>
  <si>
    <t xml:space="preserve">The programme is monitoring and ensuring that projects are spending within the allocation.  </t>
  </si>
  <si>
    <t xml:space="preserve">Efficient and effective Project Management on rectification</t>
  </si>
  <si>
    <t xml:space="preserve">the programme is efficiently and effectively applying Project Management and National guidelines on rectification.</t>
  </si>
  <si>
    <t xml:space="preserve">Motivate for special funding outside HSDG </t>
  </si>
  <si>
    <t xml:space="preserve">A letter has been submitted to the National Department of Human Settlements requesting an increase in the rectification funding allocation from 10% to 30% of the overall Human Settlements Grant Allocation. The Department is currently awaiting a response from the National Department.</t>
  </si>
  <si>
    <t xml:space="preserve">The deviation is due to the pending response from the National Department of Human Settlements on the Department’s request to adjust the rectification funding allocation from 10% to 30% of the total Grant.</t>
  </si>
  <si>
    <t xml:space="preserve">30/03/2026</t>
  </si>
  <si>
    <t xml:space="preserve">S&amp;S</t>
  </si>
  <si>
    <t xml:space="preserve">Working with Housing Institutions to enhance advocacy programs </t>
  </si>
  <si>
    <t xml:space="preserve">Quarterly
</t>
  </si>
  <si>
    <t xml:space="preserve">Collaborated with NHBRC for information stalls during the launch of the Youth Artisan Development Project in BCMM on 22August 2025. </t>
  </si>
  <si>
    <t xml:space="preserve">Increasing the departmental social media platforms</t>
  </si>
  <si>
    <t xml:space="preserve">Strengthened the department’s social media platforms by developing and executing structured weekly content plans. This strategy proved effective, resulting in significant growth in followers and views—reaching thousands—and ensuring our messaging effectively reached the targeted audience. Content shared included project profiles, youth development initiatives, flood relief efforts, information on subsidies and programmes, as well as updates on title deeds and the rental tribunal.</t>
  </si>
  <si>
    <t xml:space="preserve">Sharing of resources within the Ministry</t>
  </si>
  <si>
    <t xml:space="preserve">Collaborated with the National Department of Human Settlements by sharing content and equipment during site visits to flood-affected areas in OR Tambo and Amathole.  </t>
  </si>
  <si>
    <t xml:space="preserve">Conduct  follow up of analysis report </t>
  </si>
  <si>
    <t xml:space="preserve">The analysis of the uploaded PoE for the Quarter 1 performance report was conducted  and POE analysis report produced. The follow up with Directorates that had findings was also conducted and corrections were made where required. </t>
  </si>
  <si>
    <t xml:space="preserve">None </t>
  </si>
  <si>
    <t xml:space="preserve">Conduct backend audit ( Prog 2,3 &amp; 4) </t>
  </si>
  <si>
    <t xml:space="preserve">Bi Annual </t>
  </si>
  <si>
    <t xml:space="preserve">The Back-end Audit for Programmes, 2, 3, and 4  will be conducted during the third quarter, and the report will be produced and shared with relevant directotates for the implementation of recommendations.</t>
  </si>
  <si>
    <t xml:space="preserve">Non compliance with strategic planning time frames 
</t>
  </si>
  <si>
    <t xml:space="preserve">An action plan with an itinerary will be circulated  in line with the provincial treasury planning budget process. </t>
  </si>
  <si>
    <t xml:space="preserve">30/07/2025
</t>
  </si>
  <si>
    <t xml:space="preserve">An itinerary for the one on one strategic sessions with programmes has been developed and  circulated to programme managers dated  12/08/2025</t>
  </si>
  <si>
    <t xml:space="preserve">Conduct trainings sessions on the revised strategic plan and annual performance plan framework with programmes through Macro and Micro one on one strategic  planning sessions</t>
  </si>
  <si>
    <t xml:space="preserve">One on One working sessions  was held from 27 August – 26 September 2025  to review performance indicators and TID's in preparation of the first draft Annual Performance Plan  2026/27</t>
  </si>
  <si>
    <t xml:space="preserve">Implementation of the  stakeholder engagement and  IGR action plan</t>
  </si>
  <si>
    <t xml:space="preserve">Quarterly
</t>
  </si>
  <si>
    <t xml:space="preserve">5 Stakeholder Engagements were coordinated -                                   Eastern Cape All of Society Engagement New Urban Agenda Report,Launch of the Human Settlements Short Learning Programme and Agricultural Open Day.                                                                     2 House Handovers.                                    
11 IGR Forums were supported:1 IGR Provincial forum and 10 Municipal IGR.</t>
  </si>
  <si>
    <t xml:space="preserve">Co-ordinate  MEC (Member of the Executive Council) and MMC (Member of the Municipal Council) engagements</t>
  </si>
  <si>
    <t xml:space="preserve">Due to competing priorities within the Ministry, the MMCs did not sit in Quarter 2.</t>
  </si>
  <si>
    <t xml:space="preserve">Awaiting for guidance in terms of prioritizations from the Ministry(OMEC)</t>
  </si>
  <si>
    <t xml:space="preserve">Partially Complete</t>
  </si>
  <si>
    <t xml:space="preserve">Total</t>
  </si>
  <si>
    <t xml:space="preserve">Sub-Directorate</t>
  </si>
  <si>
    <t xml:space="preserve">To manage human resource services </t>
  </si>
  <si>
    <t xml:space="preserve">CS1 </t>
  </si>
  <si>
    <t xml:space="preserve">Corporate Services </t>
  </si>
  <si>
    <t xml:space="preserve">HRP &amp;  HRAS 
</t>
  </si>
  <si>
    <t xml:space="preserve">Fraud and Corruption
</t>
  </si>
  <si>
    <t xml:space="preserve">Misrepresentation by applicants</t>
  </si>
  <si>
    <t xml:space="preserve">Submission of falsified Curriculum Vitae (s) </t>
  </si>
  <si>
    <t xml:space="preserve"> Lack of integrity on candidates
Desperation to attain employment
</t>
  </si>
  <si>
    <t xml:space="preserve">Appointment of incompetent officials
Compromised service delivery </t>
  </si>
  <si>
    <t xml:space="preserve">Advert
Z83
Reference Checking
Personal suitability checks
SAQA Verification
Recruitment Policy
Attraction and Retention Strategy
Approved Annual Recruitment Plan
Disciplinary Code and Procedure .</t>
  </si>
  <si>
    <t xml:space="preserve">Chief Director: Corporate Services</t>
  </si>
  <si>
    <t xml:space="preserve">Verifying registrations with professional Councils
Collaborate with Anti Fraud and Corruption during awareness sessions </t>
  </si>
  <si>
    <t xml:space="preserve">Director: Human Resource Management</t>
  </si>
  <si>
    <t xml:space="preserve">Quartely 
Quartely 
</t>
  </si>
  <si>
    <t xml:space="preserve">Empowered and integrated sustainable communities </t>
  </si>
  <si>
    <t xml:space="preserve">HSFP 2</t>
  </si>
  <si>
    <t xml:space="preserve">Beneficiary Management </t>
  </si>
  <si>
    <t xml:space="preserve">Fraud and Corruption</t>
  </si>
  <si>
    <t xml:space="preserve">Fraudulent allocation of RDP houses</t>
  </si>
  <si>
    <t xml:space="preserve">Manipulation of beneficiary list (s) for allocation of RDP houses to non qualifying persons. ie Un-approved and approved lists.
</t>
  </si>
  <si>
    <t xml:space="preserve">Changing of political leadership in Municipal Councils.
Replacement of beneficiaries without their consent ie: Death, outstanding beneficiary documentation, beneficiaries who fail Housing Subsidy System (HSS) searches.
Invasion of completed housing units by unlawful beneficiaries.
</t>
  </si>
  <si>
    <t xml:space="preserve">Delay in service delivery, blocked and halted projects  
Social unrest
Illegal occupation</t>
  </si>
  <si>
    <t xml:space="preserve">Housing code
Beneficiary Housing Allocation policy.
Housing needs register.
Beneficiary Housing Allocation Committee.
Housing Subsidy System.
Acute Destitute Strategy.</t>
  </si>
  <si>
    <t xml:space="preserve">Chief Director: Human Settlements Facilitation</t>
  </si>
  <si>
    <t xml:space="preserve">Facilitate and support  the  establishment and functionality of Beneficiary Allocation Committees (BACs) in Municipalities. 
To develop illegal occupation framework
Support to Municipalities regarding Beneficiary Administration in following areas in the following  beneficiciary allocation , policy advocate 
Review of the Service Delivery Model (SDM)
                                                       </t>
  </si>
  <si>
    <t xml:space="preserve">Director:  Beneficiary Management &amp; Corporate Secretariat  </t>
  </si>
  <si>
    <r>
      <rPr>
        <sz val="12"/>
        <rFont val="Arial"/>
        <family val="2"/>
        <charset val="1"/>
      </rPr>
      <t xml:space="preserve">Quarterly
Half -year
</t>
    </r>
    <r>
      <rPr>
        <sz val="12"/>
        <color rgb="FFFF0000"/>
        <rFont val="Arial"/>
        <family val="2"/>
        <charset val="1"/>
      </rPr>
      <t xml:space="preserve">
</t>
    </r>
    <r>
      <rPr>
        <sz val="12"/>
        <rFont val="Arial"/>
        <family val="2"/>
        <charset val="1"/>
      </rPr>
      <t xml:space="preserve">
Quarterly</t>
    </r>
  </si>
  <si>
    <t xml:space="preserve">HSFP 3</t>
  </si>
  <si>
    <t xml:space="preserve">Social Facilitation and Customer Care</t>
  </si>
  <si>
    <t xml:space="preserve">Illegal selling and  renting of RDP houses</t>
  </si>
  <si>
    <t xml:space="preserve">Illegal selling of RDP houses  and rent-out  before beneficiary before  minimum period of 8 years of ownership of the property .</t>
  </si>
  <si>
    <t xml:space="preserve">Lack of  prosecution for those illegal acts.
Weak of control to manged the Illegal renting and selling of RDP houses
Beneficiary upgraded their lives therefore no longer in need of RDP houses 
Lack of Knowledge on 8 year rule regarding the selling RDP house.</t>
  </si>
  <si>
    <t xml:space="preserve">Prolong the housing backlog by selling houses at a price below the market value, and then returning to live in informal settlements.
Occupying them illegally as no title deeds were issued
Illegal profit / money making scheme</t>
  </si>
  <si>
    <t xml:space="preserve">Section 10A and 10B of the National Housing Amendment Act 4 of 2001 restricts the voluntary selling of Government-subsidised houses.
</t>
  </si>
  <si>
    <t xml:space="preserve"> Awareness on the pre-emptive  clause regarding the conditions contained in the sale agreement and title deed, a beneficiary shall not rent his/her property until the transfer of the property has been registered </t>
  </si>
  <si>
    <t xml:space="preserve">HSFP 4</t>
  </si>
  <si>
    <t xml:space="preserve">Bribery and corruption</t>
  </si>
  <si>
    <t xml:space="preserve">Bribery of Community Liason Officer(s) for employment of cheap labour and foreign employees.
Manipulation of  Project Steering Committee (PSC) by Councillor(s), Clo(s)  and Contractors
Prioritisation of un-approved beneficiaries on projects and manipulation of community employee lists</t>
  </si>
  <si>
    <t xml:space="preserve">Maximise profits
Personal financial gain
Missing beneficiaries
Non adherence to applicable processes on replacements of beneficiaries
None compensation of PSC members
Non adherence to recruitment guidelines for local  beneficiation.</t>
  </si>
  <si>
    <t xml:space="preserve">Social unrest
Slow progress on site
Halted and blocked projects
Social unrest
Slow progress on site
Halted and blocked projects
Poor quality of projects
</t>
  </si>
  <si>
    <r>
      <rPr>
        <sz val="12"/>
        <rFont val="Arial"/>
        <family val="2"/>
        <charset val="1"/>
      </rPr>
      <t xml:space="preserve">Housing Code 
</t>
    </r>
    <r>
      <rPr>
        <sz val="12"/>
        <color rgb="FFFF0000"/>
        <rFont val="Arial"/>
        <family val="2"/>
        <charset val="1"/>
      </rPr>
      <t xml:space="preserve"> 
</t>
    </r>
    <r>
      <rPr>
        <sz val="12"/>
        <rFont val="Arial"/>
        <family val="2"/>
        <charset val="1"/>
      </rPr>
      <t xml:space="preserve">Training of Project Steering Committees
Housing Subsidy System (HSS)
Housing Code
Expanded Public Works Programe (EPWP) recruitment guidelines
Technical site meetings
PSC meetings</t>
    </r>
  </si>
  <si>
    <t xml:space="preserve">Development of the Social Facilitation Strategy
</t>
  </si>
  <si>
    <t xml:space="preserve">Second Quarter</t>
  </si>
  <si>
    <t xml:space="preserve">HSFP 5</t>
  </si>
  <si>
    <t xml:space="preserve">Emerging Contractor Development</t>
  </si>
  <si>
    <t xml:space="preserve">Possible manipulation of the Emerging contractors list to benefit towards the 30% subcontractors
</t>
  </si>
  <si>
    <t xml:space="preserve">Unethical Behaviour 
Pressure to deliver on targets.
Non-aderence to applicable
policies
Ineffective Internal controls
Financial gain 
Missing information for contractors submitted for 30% emerging contractors beneficiation </t>
  </si>
  <si>
    <t xml:space="preserve">Delay in service delivery, blocked and halted projects
Poor quality on projects  
</t>
  </si>
  <si>
    <t xml:space="preserve">Provincial Local Economic 
Development Framework (LED)
Emerging contractror development policy
</t>
  </si>
  <si>
    <t xml:space="preserve">Review the emerging contractors policy
Develop the standard operating procedure
</t>
  </si>
  <si>
    <t xml:space="preserve"> Good Governance</t>
  </si>
  <si>
    <t xml:space="preserve">S&amp;S 6</t>
  </si>
  <si>
    <t xml:space="preserve">Strategy and System  </t>
  </si>
  <si>
    <t xml:space="preserve"> Institutional Performance Assessment and Programme Evaluation </t>
  </si>
  <si>
    <t xml:space="preserve">Misrepresentation of performance information by sub- programs </t>
  </si>
  <si>
    <t xml:space="preserve">Misrepresentation by business units that certain targets/milestones etc. have been achieved</t>
  </si>
  <si>
    <t xml:space="preserve">Lack of verification
Inadequate controls
Pressure to achieve targets and spend budget
</t>
  </si>
  <si>
    <t xml:space="preserve">Reputational damage
Negative audit outcomes
Financial Misconduct</t>
  </si>
  <si>
    <t xml:space="preserve">Signed business processes are in place.
Evidence based reports (OPMS)
Portfolio of evidence files from sub-programs
Physical verification</t>
  </si>
  <si>
    <t xml:space="preserve"> Portfolio of evidence analysis reports 
Conduct back end audit for program 3 and 4</t>
  </si>
  <si>
    <t xml:space="preserve">Director IPAPE</t>
  </si>
  <si>
    <t xml:space="preserve">Quarterly
Bi- annual</t>
  </si>
  <si>
    <t xml:space="preserve">S&amp;S 7</t>
  </si>
  <si>
    <t xml:space="preserve">Communication Management</t>
  </si>
  <si>
    <t xml:space="preserve">Fraudulent use of Departmental  corporate identity</t>
  </si>
  <si>
    <t xml:space="preserve">Unauthorised use of departmental corporate identity and communication platforms</t>
  </si>
  <si>
    <t xml:space="preserve"> Accessibility of departmental corporate identity
Hacking of departmental and linked social media platforms
</t>
  </si>
  <si>
    <t xml:space="preserve">Misrepresentation of the department
Reputational damage
Misinformed communities</t>
  </si>
  <si>
    <t xml:space="preserve">Provincial communication strategy and policy
Government Communication and Information System Guidelines (GCIS)
Branding manual </t>
  </si>
  <si>
    <t xml:space="preserve">Good</t>
  </si>
  <si>
    <t xml:space="preserve">Finalisation of departmental communication  strategy
Review of the branding manual
Conducting awareness campaigns </t>
  </si>
  <si>
    <t xml:space="preserve">Director: Communication Management</t>
  </si>
  <si>
    <t xml:space="preserve">Quarter 2 
Quarter 2
Quarter 3 &amp; 4</t>
  </si>
  <si>
    <t xml:space="preserve">S&amp;S 8</t>
  </si>
  <si>
    <t xml:space="preserve">Government Information and 
Communication 
Technology Management  (GICTM)</t>
  </si>
  <si>
    <t xml:space="preserve">Misuse of ICT Systems by Unauthorised Threat actors (Misuse of passwords/ password sharing , Abuse of passwords and abuse of Departmental Systems) </t>
  </si>
  <si>
    <t xml:space="preserve">Unauthorised access to departmental systems by threat actors (hackers) </t>
  </si>
  <si>
    <t xml:space="preserve">Weak IT controls
Obsolete Infrastructure
Sharing of passwords</t>
  </si>
  <si>
    <t xml:space="preserve">Financial loss
Data breach
Misuse of IT systems
Cyber attack</t>
  </si>
  <si>
    <t xml:space="preserve">IT security policy in place
Network security devices in place
Security reviews conducted quarterly
Patch management system
Cyber security awareness</t>
  </si>
  <si>
    <t xml:space="preserve">Submission for resourcing of ICT
Develop ICT digital strategy
Conduct ICT policy awareness
</t>
  </si>
  <si>
    <t xml:space="preserve">Director:Government Information and 
Communication 
Technology Management  (GICTM)</t>
  </si>
  <si>
    <t xml:space="preserve">End of Quarter 1
Quarter 3
Quarterly</t>
  </si>
  <si>
    <t xml:space="preserve">Good Governance</t>
  </si>
  <si>
    <t xml:space="preserve">S&amp;S 9</t>
  </si>
  <si>
    <t xml:space="preserve">IGR Stakeholder Engagement and IGR</t>
  </si>
  <si>
    <t xml:space="preserve">Unauthorised Disclosing of information </t>
  </si>
  <si>
    <t xml:space="preserve">Inappropriate engagement of stakeholders</t>
  </si>
  <si>
    <t xml:space="preserve">Inadequate controls
No guidelines on engagement  of stakeholders</t>
  </si>
  <si>
    <t xml:space="preserve">Misappropriation of stakeholder donations
Uncoordinated stakeholder engagements</t>
  </si>
  <si>
    <t xml:space="preserve">Stakeholder engagement and IGR Strategy in place
Business process is in place
</t>
  </si>
  <si>
    <t xml:space="preserve">Develop guidelines for stakeholder engagement</t>
  </si>
  <si>
    <t xml:space="preserve">Director Stakeholder Engagement</t>
  </si>
  <si>
    <t xml:space="preserve">Security of land tenure and affordable residential and rental services  </t>
  </si>
  <si>
    <t xml:space="preserve">HSPA 10</t>
  </si>
  <si>
    <t xml:space="preserve"> Human Settlements Property and Assets </t>
  </si>
  <si>
    <t xml:space="preserve">Sales, Transfers &amp; Assets </t>
  </si>
  <si>
    <t xml:space="preserve">Fraudulent Claims </t>
  </si>
  <si>
    <t xml:space="preserve">Manipulation of occupation of pre- 1994 old houses and sites
Fraudulent Title deeds</t>
  </si>
  <si>
    <t xml:space="preserve">Unreliable registers from municipalities
Lack of physical verification
Evasiveness by illegal occupants 
Non-cooperation by departing tenants
Non qualifying rental applicants that have previously benefited</t>
  </si>
  <si>
    <t xml:space="preserve">Transfer of pre-1994 old houses and sites to wrong beneficiaries.
Inadequate revenue collection
Fruitless and wasteful expenditure</t>
  </si>
  <si>
    <t xml:space="preserve">Physical verification in community halls
Conveyancers report
Enhanced Extended Discount Benefit Scheme (EEDBS)
Rental agreement</t>
  </si>
  <si>
    <t xml:space="preserve">Chief Director:  Human Settlements Property and Assets </t>
  </si>
  <si>
    <t xml:space="preserve">Conduct beneficiary verification
Conduct social facilitation to qualifying beneficiaries to accept transfers of land 
Issue notices of eviction</t>
  </si>
  <si>
    <t xml:space="preserve">Director : Sale and Transfers 
</t>
  </si>
  <si>
    <t xml:space="preserve">HSPA 11</t>
  </si>
  <si>
    <t xml:space="preserve">Human Settlements Property and Assets </t>
  </si>
  <si>
    <t xml:space="preserve">Social and Rental Housing </t>
  </si>
  <si>
    <t xml:space="preserve">Fraudulent Payments </t>
  </si>
  <si>
    <t xml:space="preserve">Payment of false claims on value created</t>
  </si>
  <si>
    <t xml:space="preserve">Lack of verification process</t>
  </si>
  <si>
    <t xml:space="preserve">Overpayment/Financial Loss</t>
  </si>
  <si>
    <t xml:space="preserve">Standard operating procedure in place
Physical verification on site
</t>
  </si>
  <si>
    <t xml:space="preserve">Updating the Standard Operating Procedure</t>
  </si>
  <si>
    <t xml:space="preserve">Director: Land Acquisition &amp; Tenure Services</t>
  </si>
  <si>
    <t xml:space="preserve">FMS 12</t>
  </si>
  <si>
    <t xml:space="preserve">Sub Directorate:  Supply Chain Management (Demand and Acquisition Management)</t>
  </si>
  <si>
    <t xml:space="preserve">Procurement Fraud</t>
  </si>
  <si>
    <t xml:space="preserve">Manipulation of procurement processes to favour specific bidder(s)/supplier(s).
                                                                                                                                                         </t>
  </si>
  <si>
    <t xml:space="preserve">Interest on awarding a service provider.
Collusion service providers/officials.
Officials getting kickbacks for leaking the information.
Non adherence to policies.</t>
  </si>
  <si>
    <t xml:space="preserve">Financial loss 
Adverse Audit Opinion
</t>
  </si>
  <si>
    <t xml:space="preserve">Central Supplier Database, SBD 4
Signed declaration forms and oath pf secrecy by committee members 
Supply Chain Management Policy (SCM)
</t>
  </si>
  <si>
    <t xml:space="preserve">Chief Director: Financial Management Services
</t>
  </si>
  <si>
    <t xml:space="preserve">Conduct continuous trainings of SCM officials and Bid committee members
Request bid committee members and SCM officials  to attend the compulsory online ethics management course 
Conduct BCSA training
</t>
  </si>
  <si>
    <t xml:space="preserve">Director: Supply Chain Management</t>
  </si>
  <si>
    <t xml:space="preserve">FMS 13</t>
  </si>
  <si>
    <t xml:space="preserve">Sub Directorate:  Asset Management </t>
  </si>
  <si>
    <t xml:space="preserve">Misuse of government vehicles &amp; Fuel card fraud</t>
  </si>
  <si>
    <t xml:space="preserve">Fraudulent use of government vehicles &amp;  fuel cards for private purposes.</t>
  </si>
  <si>
    <t xml:space="preserve">Non-adherence to policies and procedures
Collusion with third parties
Lack of enforcement of disciplinary action for non-compliance
Inadequate approval process for vehicles usage
Lack of management oversight over usage of company vehicles
Picking up hitch hikers for financial gain      
</t>
  </si>
  <si>
    <t xml:space="preserve">Financial loss - excessive fuel charges
Negative reputation
</t>
  </si>
  <si>
    <t xml:space="preserve">Fleet Management Policy
Authorised trip sheets 
Vehicle Inspections Monthly returns
Tracker report from GFMS
Personalised Vehicle Tags
Awareness campaigns to all department officials and drivers.
Spend Limit on the Fuel card
Reconciliation of fuel expenditure.</t>
  </si>
  <si>
    <t xml:space="preserve">Awareness campaigns to drivers 
Communication of circulars and guidelines on utilisation of fleet.
</t>
  </si>
  <si>
    <t xml:space="preserve">Director: Asset Management</t>
  </si>
  <si>
    <t xml:space="preserve">Bi-annual
Ongoing</t>
  </si>
  <si>
    <t xml:space="preserve">FMS 14</t>
  </si>
  <si>
    <t xml:space="preserve">Theft of assets</t>
  </si>
  <si>
    <t xml:space="preserve">Deliberate Loss of Assets ie Laptops, Cell phones etc.</t>
  </si>
  <si>
    <t xml:space="preserve">Personal gain
Non adherence to S45 of the PFMA. 
Weak Physical security controls. 
Officials representing the theft of assets whereas they are not stolen.
</t>
  </si>
  <si>
    <t xml:space="preserve">Financial loss</t>
  </si>
  <si>
    <t xml:space="preserve"> Asset Verification
Asset Management Policy
Appointed Loss Control officer (Security Management)</t>
  </si>
  <si>
    <t xml:space="preserve">Awareness on safeguarding of assets. 
Investigations on lost assets
Review of the Asset Management Policy </t>
  </si>
  <si>
    <t xml:space="preserve">Ongoing
Ongoing
Second Quarter</t>
  </si>
  <si>
    <t xml:space="preserve">FMS 15</t>
  </si>
  <si>
    <t xml:space="preserve">Sub-Directorate : Contract Management</t>
  </si>
  <si>
    <t xml:space="preserve">Contract irregularities</t>
  </si>
  <si>
    <t xml:space="preserve">Mismanagement of contracts on implementation i.e.  Variation of contract not in writing.</t>
  </si>
  <si>
    <t xml:space="preserve">Non-adherence to policies and procedures
Lack of enforcement of disciplinary action for non-compliance
Inadequate contract extension procedures and or guidelines
Lack of management oversight and monitoring of contracts</t>
  </si>
  <si>
    <t xml:space="preserve">Contract Checklist and documents received at SCM only</t>
  </si>
  <si>
    <t xml:space="preserve">Verifying bid register with incoming register at Contract Management</t>
  </si>
  <si>
    <t xml:space="preserve">Director: Contract Management</t>
  </si>
  <si>
    <t xml:space="preserve">Empowered and integrated sustainable communities</t>
  </si>
  <si>
    <t xml:space="preserve">DCPM 16</t>
  </si>
  <si>
    <t xml:space="preserve">District Coordination and Project Management </t>
  </si>
  <si>
    <t xml:space="preserve">Project Management Unit </t>
  </si>
  <si>
    <t xml:space="preserve">Fraudulent Certification of work</t>
  </si>
  <si>
    <t xml:space="preserve">Certification of substandard work on projects
</t>
  </si>
  <si>
    <t xml:space="preserve">Collusion with stakeholders relevant (businesses)
Financial gains
No working  tools
Shortage of human resource
Pressure to deliver on  targets
Pressure to spend the budget.
</t>
  </si>
  <si>
    <t xml:space="preserve">Financial loss through a need for rectification</t>
  </si>
  <si>
    <t xml:space="preserve">National Home Builders Registration Council (NHBRC)
South African National Building Regulations (SANBR)
Norms and Standards
Engineers certificate
Inspectors report
Re-assign responsibilities among the PMU team</t>
  </si>
  <si>
    <t xml:space="preserve">Chief Director District Coordination and Project Management</t>
  </si>
  <si>
    <t xml:space="preserve">Resubmit the request for working tools
</t>
  </si>
  <si>
    <t xml:space="preserve">Director Project Management Unit (PMU)</t>
  </si>
  <si>
    <t xml:space="preserve">Quarter 1</t>
  </si>
  <si>
    <t xml:space="preserve">DCPM 17</t>
  </si>
  <si>
    <t xml:space="preserve">Grant Management </t>
  </si>
  <si>
    <t xml:space="preserve">Bribery / Kickbacks</t>
  </si>
  <si>
    <t xml:space="preserve">Employees accepting bribes from contractors for fictitiious variation oders and to fast track payment of claims.
</t>
  </si>
  <si>
    <t xml:space="preserve">Unethical behaviour
Lifestyle limitations (e.g. highly indebted, substance addiction etc)
Non-compliance to policies and procedures</t>
  </si>
  <si>
    <t xml:space="preserve">Reputational damage
Financial loss</t>
  </si>
  <si>
    <t xml:space="preserve">Grant Procedure manual
Top Management Intervention / Committee when there is limited funding
Anti-Fraud and Corruption Strategy</t>
  </si>
  <si>
    <t xml:space="preserve">Chief Director: District Coordination and Project Management (PMQA)</t>
  </si>
  <si>
    <t xml:space="preserve">To ensure that all officials within the section are available for the training
Conduct awareness campaigns
</t>
  </si>
  <si>
    <t xml:space="preserve">Director: Grant Management
Director: Risk, Anti-Corruption &amp; Integrity Management Unit </t>
  </si>
  <si>
    <t xml:space="preserve">Quarter 1
Quarter 1
</t>
  </si>
  <si>
    <t xml:space="preserve">DCPM 18</t>
  </si>
  <si>
    <t xml:space="preserve">District Coordination</t>
  </si>
  <si>
    <t xml:space="preserve">Poor quality of material</t>
  </si>
  <si>
    <r>
      <rPr>
        <sz val="12"/>
        <color theme="1"/>
        <rFont val="Arial"/>
        <family val="2"/>
        <charset val="1"/>
      </rPr>
      <t xml:space="preserve">Use of ubstandard material
</t>
    </r>
    <r>
      <rPr>
        <sz val="12"/>
        <color rgb="FFFF0000"/>
        <rFont val="Arial"/>
        <family val="2"/>
        <charset val="1"/>
      </rPr>
      <t xml:space="preserve">
</t>
    </r>
    <r>
      <rPr>
        <sz val="12"/>
        <color theme="1"/>
        <rFont val="Arial"/>
        <family val="2"/>
        <charset val="1"/>
      </rPr>
      <t xml:space="preserve">Certification of poor quality material</t>
    </r>
  </si>
  <si>
    <t xml:space="preserve">Scarcity of material
Maximising of profits
Lack of testing equipment
Insufficient funds
Demand by communities to use local material
</t>
  </si>
  <si>
    <t xml:space="preserve">Social unrest (complaints from beneficiaries)
Financial loss
Poor quality products
Litigation against the department
</t>
  </si>
  <si>
    <t xml:space="preserve">Housing code
Project specification and standards
South African National Standards
NHBRC Inspection Manual</t>
  </si>
  <si>
    <t xml:space="preserve">Very good</t>
  </si>
  <si>
    <t xml:space="preserve">Acceptable </t>
  </si>
  <si>
    <t xml:space="preserve">Low Risk</t>
  </si>
  <si>
    <t xml:space="preserve">Tolerate</t>
  </si>
  <si>
    <t xml:space="preserve">Undertake a process to procure testing equipment.
</t>
  </si>
  <si>
    <t xml:space="preserve">
Regional Director
</t>
  </si>
  <si>
    <t xml:space="preserve">
Ongoing
</t>
  </si>
  <si>
    <t xml:space="preserve">DCPM 19</t>
  </si>
  <si>
    <t xml:space="preserve"> District Coordination and Project Management </t>
  </si>
  <si>
    <t xml:space="preserve">Misrepresentation of variation orders</t>
  </si>
  <si>
    <t xml:space="preserve">Crafting and certification of fictitious variation orders/difficult terrains</t>
  </si>
  <si>
    <t xml:space="preserve">Lack of adequate site verification
Lack of proper evaluation in the tender processes.
Centralisation of tender evaluation processes
</t>
  </si>
  <si>
    <t xml:space="preserve">Irregular expenditure
Blocked projects
Negative audit outcome</t>
  </si>
  <si>
    <t xml:space="preserve">Housing code
Contract terms of reference
Site briefing
Geotech investigations</t>
  </si>
  <si>
    <t xml:space="preserve">Propose Incoporation- 
of affected regional representation 
in tender evaluation processes</t>
  </si>
  <si>
    <r>
      <rPr>
        <sz val="12"/>
        <rFont val="Arial"/>
        <family val="2"/>
        <charset val="1"/>
      </rPr>
      <t xml:space="preserve">
Regional Director
</t>
    </r>
  </si>
  <si>
    <t xml:space="preserve">DCPM 20</t>
  </si>
  <si>
    <t xml:space="preserve">Manipulation of units on site</t>
  </si>
  <si>
    <t xml:space="preserve">Constructing units of own choice and in wrong sites</t>
  </si>
  <si>
    <t xml:space="preserve">Collution with Councillors and Community Liason Officer(s)
Nepotism
Delays in project implementation
</t>
  </si>
  <si>
    <t xml:space="preserve">Social unrest
Negative audit outcome
Blocked projects
Irregular expenditure
Departmental Impact non responsive to the poorest and the poor.</t>
  </si>
  <si>
    <t xml:space="preserve">Beneficiary Assessment (door to door verification of lists)
Approved and endorsed beneficiary list from Municipality
Linking coordinates with approved beneficiaries
Housing Code
Housing Subsidy System (HSS)
</t>
  </si>
  <si>
    <t xml:space="preserve">Moderalety Acceptable</t>
  </si>
  <si>
    <t xml:space="preserve">Medium Risk</t>
  </si>
  <si>
    <t xml:space="preserve">Treatment</t>
  </si>
  <si>
    <t xml:space="preserve">Effect trainings on ethics
Effect ongoing social facilitation</t>
  </si>
  <si>
    <t xml:space="preserve">Regional Director</t>
  </si>
  <si>
    <t xml:space="preserve">DCPM 21</t>
  </si>
  <si>
    <t xml:space="preserve">Misrepresntation Milestone achievement misrepresentation</t>
  </si>
  <si>
    <r>
      <rPr>
        <sz val="12"/>
        <color theme="1"/>
        <rFont val="Arial"/>
        <family val="2"/>
        <charset val="1"/>
      </rPr>
      <t xml:space="preserve"> Certification of fictitious milestones achievements
</t>
    </r>
    <r>
      <rPr>
        <sz val="12"/>
        <rFont val="Arial"/>
        <family val="2"/>
        <charset val="1"/>
      </rPr>
      <t xml:space="preserve">
</t>
    </r>
  </si>
  <si>
    <r>
      <rPr>
        <sz val="12"/>
        <rFont val="Arial"/>
        <family val="2"/>
        <charset val="1"/>
      </rPr>
      <t xml:space="preserve">Overloaded work
Difficult terrains
Non replacements of lapsed contract
Pressure to reach planned targets (Unlawful instruction from 
politicians, pressure to utilise budget).
</t>
    </r>
    <r>
      <rPr>
        <sz val="12"/>
        <color theme="1"/>
        <rFont val="Arial"/>
        <family val="2"/>
        <charset val="1"/>
      </rPr>
      <t xml:space="preserve">Lack/shortage of resources or understaffing (Certifying claims without visit site)
</t>
    </r>
    <r>
      <rPr>
        <sz val="12"/>
        <rFont val="Arial"/>
        <family val="2"/>
        <charset val="1"/>
      </rPr>
      <t xml:space="preserve">
Delays in approval of projects
</t>
    </r>
  </si>
  <si>
    <t xml:space="preserve">Negative audit outcome
Criminal charges
Recovering funds from implicated officials 
Social unrest</t>
  </si>
  <si>
    <r>
      <rPr>
        <sz val="12"/>
        <rFont val="Arial"/>
        <family val="2"/>
        <charset val="1"/>
      </rPr>
      <t xml:space="preserve">Site verification
Resident engineer
</t>
    </r>
    <r>
      <rPr>
        <sz val="12"/>
        <color theme="1"/>
        <rFont val="Arial"/>
        <family val="2"/>
        <charset val="1"/>
      </rPr>
      <t xml:space="preserve">Engineering certificate
</t>
    </r>
    <r>
      <rPr>
        <sz val="12"/>
        <color rgb="FFFF0000"/>
        <rFont val="Arial"/>
        <family val="2"/>
        <charset val="1"/>
      </rPr>
      <t xml:space="preserve">
</t>
    </r>
    <r>
      <rPr>
        <sz val="12"/>
        <color theme="1"/>
        <rFont val="Arial"/>
        <family val="2"/>
        <charset val="1"/>
      </rPr>
      <t xml:space="preserve">Housing code
</t>
    </r>
    <r>
      <rPr>
        <sz val="12"/>
        <color rgb="FFFF0000"/>
        <rFont val="Arial"/>
        <family val="2"/>
        <charset val="1"/>
      </rPr>
      <t xml:space="preserve">
</t>
    </r>
    <r>
      <rPr>
        <sz val="12"/>
        <rFont val="Arial"/>
        <family val="2"/>
        <charset val="1"/>
      </rPr>
      <t xml:space="preserve">Inspectors certificate</t>
    </r>
    <r>
      <rPr>
        <sz val="12"/>
        <color rgb="FFFF0000"/>
        <rFont val="Arial"/>
        <family val="2"/>
        <charset val="1"/>
      </rPr>
      <t xml:space="preserve"> 
</t>
    </r>
    <r>
      <rPr>
        <sz val="12"/>
        <color theme="1"/>
        <rFont val="Arial"/>
        <family val="2"/>
        <charset val="1"/>
      </rPr>
      <t xml:space="preserve">Housing Subsidy System</t>
    </r>
    <r>
      <rPr>
        <sz val="12"/>
        <rFont val="Arial"/>
        <family val="2"/>
        <charset val="1"/>
      </rPr>
      <t xml:space="preserve"> (HSS)
Coordinates linking with beneficiaries</t>
    </r>
  </si>
  <si>
    <t xml:space="preserve">Motivate for additional capacity (ratio of inspectors to improve to 1.5) ervan completion report monthly reconcilations 
Appropriate resources (Request replacements of 4x2 &amp; sedans by 4x4 double cabs) </t>
  </si>
  <si>
    <t xml:space="preserve">Regional Directors</t>
  </si>
  <si>
    <t xml:space="preserve">Empowered Integrated sustainable communities</t>
  </si>
  <si>
    <t xml:space="preserve">HSIP 22</t>
  </si>
  <si>
    <t xml:space="preserve">Human Settlements 
Incremental Programmes</t>
  </si>
  <si>
    <t xml:space="preserve">Special Projects &amp; Remedial Works</t>
  </si>
  <si>
    <t xml:space="preserve">Corruption/Collusion</t>
  </si>
  <si>
    <t xml:space="preserve">Collusion between project managers and subcontractors
Officials may have opportunity to fast-track other invoices against others for kickbacks (rationalise the act)
Substitute materials while billing for higher quality or falsification of pay applications</t>
  </si>
  <si>
    <t xml:space="preserve">Kickbacks schemes,    Bid rigging at the subcontractor level, Conflict of interest   Bribery
Lack of close monitoring  payment system            Third parties manipulate officials
Billing for uncompleted work</t>
  </si>
  <si>
    <t xml:space="preserve">Image of Department is compromised/Dented (Labelling)
Poor control systems   </t>
  </si>
  <si>
    <t xml:space="preserve">Service Delivery Meetings  Reporting                                           Monitoring
Conduct regular (sometimes unannounced site visits
</t>
  </si>
  <si>
    <t xml:space="preserve">Unacceptable</t>
  </si>
  <si>
    <t xml:space="preserve">High Risk</t>
  </si>
  <si>
    <t xml:space="preserve">Chief Director: Human Settlements
Incremental Programmes</t>
  </si>
  <si>
    <t xml:space="preserve">Department to embark on intensive fraud awareness programme (visibility to conscientise officials of the wrongs and consequences thereafter   Set up a system to receive Anonymous Tips
</t>
  </si>
  <si>
    <t xml:space="preserve">Fraud and Corruption Directorate</t>
  </si>
  <si>
    <t xml:space="preserve">HSIP 23</t>
  </si>
  <si>
    <t xml:space="preserve">Destitute &amp; Vulnerable groups &amp;
SPU</t>
  </si>
  <si>
    <t xml:space="preserve">Presentation of inaccurate lists of destitute individuals/families </t>
  </si>
  <si>
    <t xml:space="preserve">Misrepresentation of destitute lists submitted for departmental intervention
Manipulation of lists for destitute beneficiation
</t>
  </si>
  <si>
    <t xml:space="preserve">Abuse of power by officials, politicians, traditional leaders who are vested with power in communities
</t>
  </si>
  <si>
    <t xml:space="preserve">Social unrest
Limitation of government impact in dealing with homelessness.                                                               
                                                                            Benefitting of non qualifying individuals as destitutse                                                        
Quee Jumping                                                                                                                                                                                                                                                                                 </t>
  </si>
  <si>
    <t xml:space="preserve">Conduct physical verification (means test).
Housing code
Consolidated lists endorsed by Municipal councils.
</t>
  </si>
  <si>
    <t xml:space="preserve">Conclude the Policy on Destitute housing and vulnerable groups
Consolidate partnerships with municipalities and other relevant stakeholders i.e. SAMVA, NGOs, Masimanyane etc.</t>
  </si>
  <si>
    <t xml:space="preserve">Director: Destitute and Vulnerable groups</t>
  </si>
  <si>
    <t xml:space="preserve">Third quarter</t>
  </si>
  <si>
    <t xml:space="preserve">HSIP 24</t>
  </si>
  <si>
    <t xml:space="preserve"> EPHP</t>
  </si>
  <si>
    <t xml:space="preserve">Manipulation of
Beneficiary Committees/Community Based Organisation (CBO)</t>
  </si>
  <si>
    <t xml:space="preserve">Potential manipulation of  beneficiary committee(s) in the recommendation of the Community Resource Organisation (CRO)</t>
  </si>
  <si>
    <t xml:space="preserve">Financial gain
</t>
  </si>
  <si>
    <t xml:space="preserve">Blocked projects
Objectives of the policy might not be realised
Social unrest
Reputational damage
Financial loss  
 Possible litigation from other suppliers resulting from such irregular procurement practices 
Appointment of suppliers who do not have the capacity/financial resources to service GPAA
</t>
  </si>
  <si>
    <t xml:space="preserve">National Guidelines on EPHP
Housing Code
</t>
  </si>
  <si>
    <r>
      <rPr>
        <sz val="12"/>
        <color theme="1"/>
        <rFont val="Arial"/>
        <family val="2"/>
        <charset val="1"/>
      </rPr>
      <t xml:space="preserve">Finalising Provincial guidelines on EPHP
Alignment of the  procurement process </t>
    </r>
    <r>
      <rPr>
        <sz val="12"/>
        <rFont val="Arial"/>
        <family val="2"/>
        <charset val="1"/>
      </rPr>
      <t xml:space="preserve">with PPPFA (Be specific on the PPPFA provisions in question</t>
    </r>
    <r>
      <rPr>
        <sz val="12"/>
        <color theme="1"/>
        <rFont val="Arial"/>
        <family val="2"/>
        <charset val="1"/>
      </rPr>
      <t xml:space="preserve">)
</t>
    </r>
  </si>
  <si>
    <t xml:space="preserve">Director: EmErgency housing and EPHP</t>
  </si>
  <si>
    <t xml:space="preserve">HSIP 25</t>
  </si>
  <si>
    <t xml:space="preserve">Emergency Housing </t>
  </si>
  <si>
    <t xml:space="preserve">Misrepresentation of Beneficiary List , claims, Shelters </t>
  </si>
  <si>
    <t xml:space="preserve">submission of  fictitious Claims submitted by service provider to deliberate deception the Department . i.e duplicate claims , non existences , claims for the working that is done or uncompleted work 
Manipulation of beneficiary 
Lists for shelters .i.e Beneficairy that are not in need of temparary shelters reflecting on the request list 
Collusion between officials and service provider to submit fraudulent claims i.e  .inflated prices </t>
  </si>
  <si>
    <t xml:space="preserve">Financial gain 
Weakness of Control 
Unethical Behaviour 
automated systems 
Poor Quality control to  check material standard 
False submisson of structure typology by Service Provider
A political will to for realisation
of development (Councillors recognition)
Lacking understanding  of emergency cases 
Opportunity from official/s  that adds their own people </t>
  </si>
  <si>
    <t xml:space="preserve">Fruitless and wasteful expenditure
No value created 
Financial Losses
Reputational damage to 
government/ Department 
Litgation cases
</t>
  </si>
  <si>
    <t xml:space="preserve">Emergency Housing Policy 
Emergency Grant Framework 
Physical verification to affected beneficiary 
Emergency Housing Policy 
Emergency Grant Framework 
</t>
  </si>
  <si>
    <t xml:space="preserve">Submit a request  Nationa Office Human Settlemets  Department rights to utlise HSS for loadin gof  beneficiary ( for temporary shelts) .
 To provide intense training to the Control Works Inspectors  to undestand the TRUs specification and requirement on erection of TRUs.
To upadate and document our process flow by only approving structures that are signed by Proffession Engenerings .  
Colaboration with Muncipal officials to intensify and streghten the process of verification of emergency beneifiary list</t>
  </si>
  <si>
    <t xml:space="preserve">HSIP 26</t>
  </si>
  <si>
    <t xml:space="preserve">Informal Settlements Upgrading</t>
  </si>
  <si>
    <t xml:space="preserve">Misrepresentaton of the list of informal settlements and information  by Service Providers </t>
  </si>
  <si>
    <t xml:space="preserve">Unsubstantiated  list of informal settlements to be upgraded to submitted by the municipalities 
Dishonourable ( Misleading )and fraudulent project invoices and claims on value created
Certification of substandard work on projects
</t>
  </si>
  <si>
    <t xml:space="preserve">Reprioritisation of the selected informal settlement by municipality without consideration of approved informal settlements  
Councillors/committee members seeking financial and political gains
misinformation and misunderstanding of the program objectives
Non-compliance to policies and procedures  in the value chain
Lack of Monitoring and control
Collusion with relevant stakeholders 
</t>
  </si>
  <si>
    <t xml:space="preserve">Fiscal constraints on Budget for the upgrading of the informal settlements(grant)
Social unrest and community disturbilisation 
Delays in beneficiation of rightful households in the upgrading projects
Blocked upgrading projects
Fruitless and wasteful expenditure leading to financial loss (Fraud and Corruption)
Inability to complete projects 
Project outcome inconsistent with objectives</t>
  </si>
  <si>
    <t xml:space="preserve">Integrated Development Plan (IDP)
Municipal Council Resolutions
Housing Code
Systems Description and process flows
Informal Settlements Upgrading Partnership Grant (ISUPG) framework (DORA)
Provincial Supply chain policy
</t>
  </si>
  <si>
    <t xml:space="preserve"> Education and orientation  ( Training )of the programme to the municipalities and communities
Continuous verification of the informal settlements to be upgraded
Strengthening of the project terms of reference using supply chain guidelines
Strengthening of non compliance from the supply chain policies</t>
  </si>
  <si>
    <t xml:space="preserve">Director: ISUP</t>
  </si>
  <si>
    <t xml:space="preserve">Quartely
Quarterly
</t>
  </si>
  <si>
    <t xml:space="preserve">                                                                            EMERGING RISK REGISTER 2025/26</t>
  </si>
  <si>
    <t xml:space="preserve">ER-1</t>
  </si>
  <si>
    <t xml:space="preserve">Increased public service protests</t>
  </si>
  <si>
    <t xml:space="preserve">Upcoming Local Government Elections</t>
  </si>
  <si>
    <t xml:space="preserve">Service delivery disruptions 
Delays in the implementation of projects
Reputational Damage
Safety concerns of empoyees </t>
  </si>
  <si>
    <t xml:space="preserve">Implementation of departmental social facilitation strategy
Hands on support provided  to municipalities </t>
  </si>
  <si>
    <t xml:space="preserve">Chief Directors</t>
  </si>
  <si>
    <t xml:space="preserve">All Directorates and HandsOn support personnel  that renders social facilitation functions will be capacitated  on social facilitation strategy  in order to curb service delivery protests during the election period
</t>
  </si>
  <si>
    <t xml:space="preserve">ER-2</t>
  </si>
  <si>
    <t xml:space="preserve">Human Settlements Incremental Programme</t>
  </si>
  <si>
    <t xml:space="preserve">Reduction of ISUPG budget to complete the Phase 3 upgrading </t>
  </si>
  <si>
    <t xml:space="preserve">The projects completion will be delayed to the outer years
Budget cuts may result in unfinished or substandard infrastructure, affecting long-term sustainability and the formalization of tenure (e.g., issuing title deeds).
These delays will undermine legal security for residents and discourage investment in home improvements leading to loss of Community Trust, and feeling of betrayed 
The Risk of revert to informal conditions, of having services that are unreliable or unsafe.
South Africa’s commitments under the Sustainable Development Goals (SDGs) and National Development Plan (NDP) may be compromised due to underperformance in informal settlement upgrading.</t>
  </si>
  <si>
    <t xml:space="preserve">Chief Director: </t>
  </si>
  <si>
    <t xml:space="preserve">ER-3</t>
  </si>
  <si>
    <t xml:space="preserve">The demand for emergency housing assistance has increased thus straining the budget allocation for the province </t>
  </si>
  <si>
    <t xml:space="preserve">Lack of response to disasters by the National Department</t>
  </si>
  <si>
    <t xml:space="preserve">Families left without shelter</t>
  </si>
  <si>
    <t xml:space="preserve">Director:</t>
  </si>
  <si>
    <t xml:space="preserve">ER-4</t>
  </si>
  <si>
    <t xml:space="preserve">Failure to remove asbestos. </t>
  </si>
  <si>
    <t xml:space="preserve">Unfunded madate </t>
  </si>
  <si>
    <t xml:space="preserve">Legal exposure if the issue is not addressed properly.</t>
  </si>
  <si>
    <t xml:space="preserve">Request for funding to National for Data collection of houses with Asbestos roofs and ceiling .</t>
  </si>
  <si>
    <t xml:space="preserve">ER-5</t>
  </si>
  <si>
    <t xml:space="preserve">Non-Allocation and Non-Utilization of microsoft licenses</t>
  </si>
  <si>
    <t xml:space="preserve">Reporting (Microsoft BI) tool not showing correct statistics.
High vacancy rate (16%) / Unavoidable delays in the filling of vacant posts.
Recurring levels of staff movement (resignations, retirements, deaths, Policy and Procedure on Incapacity Leave and Ill-Health Retirement (PILIR) cases)
Inactive/Offline users.
Hybrid (Physical vs Virtual Meetings vs Remote/off-Site) working environment / decline on the use of Microsoft Virtual meetings
User resistance / Use of private / alternative tools for collaboration, sharing and communicating such as WhatsApp, Zoom, Google meet, Gmails.
Incorrect Metrics for calculation of Microsoft utilization (Active users / Enabled Users including guest users).
Poor planning, adoption, allocation and usage of Microsoft applications.
Poor password management (end-user).</t>
  </si>
  <si>
    <t xml:space="preserve">Fruitless and wasteful expenditure
Negative audit outcomes
Delays in digital transformation
</t>
  </si>
  <si>
    <t xml:space="preserve">User access quarterly reviews
Training and User awareness sessions
Enforced password policy.
Annual Demand plan (CPS).
Operational Levell Agreement (OLA) between OTP and ECDHS (The Parties agree that a threshold of 90% (with a tolerance level of 10%)) .
Logged  a call with Microsoft for Reconfiguration the of BI Reporting tool using correct data metrix (Active users / Ourchased Licences).
</t>
  </si>
  <si>
    <r>
      <rPr>
        <sz val="11"/>
        <rFont val="Arial"/>
        <family val="2"/>
        <charset val="1"/>
      </rPr>
      <t xml:space="preserve">Define ECDHS Microsoft utilisation report with correct Data Metrix (Active users / Purchased Licenses).
Conduct Training and Awareness sessions</t>
    </r>
    <r>
      <rPr>
        <b val="true"/>
        <sz val="11"/>
        <rFont val="Arial"/>
        <family val="2"/>
        <charset val="1"/>
      </rPr>
      <t xml:space="preserve">( on use of Ms Teams and Sharepoint online)
</t>
    </r>
    <r>
      <rPr>
        <sz val="11"/>
        <rFont val="Arial"/>
        <family val="2"/>
        <charset val="1"/>
      </rPr>
      <t xml:space="preserve">
Continues monitoring of Microsoft utilisation and allocation through Microsoft BI Reporting tool.
Reconfigure policies to enforce password sync for microsoft apps
Consult/engage inactive users and provide hands-on support.
</t>
    </r>
    <r>
      <rPr>
        <b val="true"/>
        <sz val="11"/>
        <rFont val="Arial"/>
        <family val="2"/>
        <charset val="1"/>
      </rPr>
      <t xml:space="preserve">Teams</t>
    </r>
    <r>
      <rPr>
        <sz val="11"/>
        <rFont val="Arial"/>
        <family val="2"/>
        <charset val="1"/>
      </rPr>
      <t xml:space="preserve">:  Promote utilization of Virtual meetings more habitually, instead of Physical meetings.
</t>
    </r>
    <r>
      <rPr>
        <b val="true"/>
        <sz val="11"/>
        <rFont val="Arial"/>
        <family val="2"/>
        <charset val="1"/>
      </rPr>
      <t xml:space="preserve">E365:</t>
    </r>
    <r>
      <rPr>
        <sz val="11"/>
        <rFont val="Arial"/>
        <family val="2"/>
        <charset val="1"/>
      </rPr>
      <t xml:space="preserve"> Conduct Data Cleansing (Systems reviews) quarterly
</t>
    </r>
    <r>
      <rPr>
        <b val="true"/>
        <sz val="11"/>
        <rFont val="Arial"/>
        <family val="2"/>
        <charset val="1"/>
      </rPr>
      <t xml:space="preserve">Share Point</t>
    </r>
    <r>
      <rPr>
        <sz val="11"/>
        <rFont val="Arial"/>
        <family val="2"/>
        <charset val="1"/>
      </rPr>
      <t xml:space="preserve">: - Optimise use of SharePoint Storage.
Implement IT plan (Digitisation and Automation) initiatives.
</t>
    </r>
    <r>
      <rPr>
        <b val="true"/>
        <sz val="11"/>
        <rFont val="Arial"/>
        <family val="2"/>
        <charset val="1"/>
      </rPr>
      <t xml:space="preserve">OneDrive:</t>
    </r>
    <r>
      <rPr>
        <sz val="11"/>
        <rFont val="Arial"/>
        <family val="2"/>
        <charset val="1"/>
      </rPr>
      <t xml:space="preserve"> Migrate remaining users to OneDrive and enforce utilization through Group policy.
Engage OTP / PGITOC (EC) quarterly meetings, to review the performance of the Microsoft Enterprise Agreements.
Filling vacant positions.</t>
    </r>
  </si>
  <si>
    <t xml:space="preserve">Director:ICT</t>
  </si>
  <si>
    <t xml:space="preserve">Quartely</t>
  </si>
  <si>
    <t xml:space="preserve">Chief Director:</t>
  </si>
  <si>
    <t xml:space="preserve">IMPACT (CONSEQUENCE)</t>
  </si>
  <si>
    <t xml:space="preserve">Rating</t>
  </si>
  <si>
    <t xml:space="preserve">Assessment</t>
  </si>
  <si>
    <t xml:space="preserve">Definition</t>
  </si>
  <si>
    <t xml:space="preserve">Insignificant</t>
  </si>
  <si>
    <t xml:space="preserve">Negative outcomes or missed opportunities that are likely to have a negligible impact on the ability to meet outcomes </t>
  </si>
  <si>
    <t xml:space="preserve">Minor</t>
  </si>
  <si>
    <t xml:space="preserve">Negative outcomes or missed opportunities that are likely to have a relatively low impact on the ability to meet outcomes </t>
  </si>
  <si>
    <t xml:space="preserve">Moderate</t>
  </si>
  <si>
    <t xml:space="preserve">Negative outcomes or missed opportunities that are likely to have a relatively moderate impact on the ability to meet outcomes </t>
  </si>
  <si>
    <t xml:space="preserve">Major</t>
  </si>
  <si>
    <t xml:space="preserve">Negative outcomes or missed opportunities that are likely to have a relatively substantial impact on the ability to meet outcomes </t>
  </si>
  <si>
    <t xml:space="preserve">Critical</t>
  </si>
  <si>
    <t xml:space="preserve">Negative outcomes or missed opportunities that are of critical importance to the achievement of the outcomes </t>
  </si>
  <si>
    <t xml:space="preserve">LIKELIHOOD (FREQUENCY, PROBABILITY)</t>
  </si>
  <si>
    <t xml:space="preserve">Rare</t>
  </si>
  <si>
    <t xml:space="preserve">The risk is conceivable but is only likely to occur in extreme circumstances</t>
  </si>
  <si>
    <t xml:space="preserve">Unlikely</t>
  </si>
  <si>
    <t xml:space="preserve">The risk occurs infrequently and is unlikely to occur within the next 3 years</t>
  </si>
  <si>
    <t xml:space="preserve">There is an above average chance that the risk will occur at least once in the next 3 years</t>
  </si>
  <si>
    <t xml:space="preserve">Likely</t>
  </si>
  <si>
    <t xml:space="preserve">The risk could easily occur, and is likely to occur at least once within the next 12 months</t>
  </si>
  <si>
    <t xml:space="preserve">Common</t>
  </si>
  <si>
    <t xml:space="preserve">The risk is already occurring, or is likely to occur more than once within the next 12 months</t>
  </si>
  <si>
    <t xml:space="preserve">RISK CATEGORIES</t>
  </si>
  <si>
    <t xml:space="preserve">Risk category</t>
  </si>
  <si>
    <t xml:space="preserve">Description</t>
  </si>
  <si>
    <t xml:space="preserve">Human resources</t>
  </si>
  <si>
    <t xml:space="preserve">Risks that relate to human resources of an institution.  These risks can have an effect on an institution's human capital with regard to:</t>
  </si>
  <si>
    <t xml:space="preserve">Integrity and honesty;</t>
  </si>
  <si>
    <t xml:space="preserve">Recruitment;</t>
  </si>
  <si>
    <t xml:space="preserve">Skills and competence;</t>
  </si>
  <si>
    <t xml:space="preserve">Employee wellness;</t>
  </si>
  <si>
    <t xml:space="preserve">Employee relations;</t>
  </si>
  <si>
    <t xml:space="preserve">Retention; and</t>
  </si>
  <si>
    <t xml:space="preserve">Occupational health and safety.</t>
  </si>
  <si>
    <t xml:space="preserve">Knowledge and Information management</t>
  </si>
  <si>
    <t xml:space="preserve">Risks relating to an institution's management of knowledge and information.  In identifying the risks consider the following aspects related to knowledge management:</t>
  </si>
  <si>
    <t xml:space="preserve">Availability of information;</t>
  </si>
  <si>
    <t xml:space="preserve">Stability of the information;</t>
  </si>
  <si>
    <t xml:space="preserve">Integrity of information data;</t>
  </si>
  <si>
    <t xml:space="preserve">Relevance of the information;</t>
  </si>
  <si>
    <t xml:space="preserve">Safeguarding.</t>
  </si>
  <si>
    <t xml:space="preserve">Litigation</t>
  </si>
  <si>
    <t xml:space="preserve">Risks that the institution might suffer losses due to litigation and lawsuits against it.  Losses from litigation can possibly emanate from:</t>
  </si>
  <si>
    <t xml:space="preserve">Claims by employees, the public, service providers and other third party</t>
  </si>
  <si>
    <t xml:space="preserve">Failure by an institution to exercise certain rights that are to its advantage</t>
  </si>
  <si>
    <t xml:space="preserve">Loss \ theft of assets</t>
  </si>
  <si>
    <t xml:space="preserve">Risks that an institution might suffer losses due to either theft or loss of an asset of the institution.</t>
  </si>
  <si>
    <t xml:space="preserve">Every institution exists to provide value for its stakeholders.  The risk will arise if the appropriate quality of service is not delivered to the citizens.</t>
  </si>
  <si>
    <t xml:space="preserve">Information Technology</t>
  </si>
  <si>
    <t xml:space="preserve">The risks relating specifically to the institution's IT objectives, infrastructure requirement, etc.  Possible considerations could include the following when identifying applicable risks:</t>
  </si>
  <si>
    <t xml:space="preserve">Security concerns;</t>
  </si>
  <si>
    <t xml:space="preserve">Technology availability (uptime);</t>
  </si>
  <si>
    <t xml:space="preserve">Applicability of IT infrastructure;</t>
  </si>
  <si>
    <t xml:space="preserve">Integration / interface of the systems;</t>
  </si>
  <si>
    <t xml:space="preserve">Effectiveness of technology; and</t>
  </si>
  <si>
    <t xml:space="preserve">Obsolescence of technology.</t>
  </si>
  <si>
    <t xml:space="preserve">Risks related to an institution's dependence on the performance of a third party.  Risk in this regard could be that there is the likelihood that a service provider might not perform according to the service level agreement entered into with an institution.  Non performance could include:</t>
  </si>
  <si>
    <t xml:space="preserve">Outright failure to perform;</t>
  </si>
  <si>
    <t xml:space="preserve">Not rendering the required service in time;</t>
  </si>
  <si>
    <t xml:space="preserve">Not rendering the correct service; and</t>
  </si>
  <si>
    <t xml:space="preserve">Inadequate / poor quality of performance.</t>
  </si>
  <si>
    <t xml:space="preserve">Health &amp; Safety</t>
  </si>
  <si>
    <t xml:space="preserve">Risks from occupational health and safety issues e.g. injury on duty; outbreak of disease within the institution.</t>
  </si>
  <si>
    <t xml:space="preserve">Disaster recovery / business continuity</t>
  </si>
  <si>
    <t xml:space="preserve">Risks related to an institution's preparedness or absence thereto to disasters that could impact the normal functioning of the institution e.g. natural disasters, act of terrorism etc.  This would lead to the disruption of processes and service delivery and could include the possible disruption of operations at the onset of a crisis to the resumption of critical activities.  Factors to consider include:</t>
  </si>
  <si>
    <t xml:space="preserve">Disaster management procedures; and</t>
  </si>
  <si>
    <t xml:space="preserve">Contingency planning.</t>
  </si>
  <si>
    <t xml:space="preserve">Compliance \ Regulatory</t>
  </si>
  <si>
    <t xml:space="preserve">Risks related to the compliance requirements that an institution has to meet.  Aspects to consider in this regard are:</t>
  </si>
  <si>
    <t xml:space="preserve">Failure to monitor or enforce compliance</t>
  </si>
  <si>
    <t xml:space="preserve">Monitoring and enforcement mechanisms; </t>
  </si>
  <si>
    <t xml:space="preserve">Consequences of non compliance; and</t>
  </si>
  <si>
    <t xml:space="preserve">Fines and penalties paid.</t>
  </si>
  <si>
    <t xml:space="preserve">Fraud and corruption</t>
  </si>
  <si>
    <t xml:space="preserve">These risks relate to illegal or improper acts by employees resulting in a loss of the institution's assets or resources.</t>
  </si>
  <si>
    <t xml:space="preserve">Risks encompassing the entire scope of general financial management.  Potential factors to consider include:</t>
  </si>
  <si>
    <t xml:space="preserve">Cash flow adequacy and management thereof;</t>
  </si>
  <si>
    <t xml:space="preserve">Financial losses;</t>
  </si>
  <si>
    <t xml:space="preserve">Wasteful expenditure;</t>
  </si>
  <si>
    <t xml:space="preserve">Budget allocations;</t>
  </si>
  <si>
    <t xml:space="preserve">Financial statement integrity;</t>
  </si>
  <si>
    <t xml:space="preserve">Revenue collection; and</t>
  </si>
  <si>
    <t xml:space="preserve">Increasing operational expenditure.</t>
  </si>
  <si>
    <t xml:space="preserve">Risks relating to an institution's overall culture and control environment.  The various factors related to organisational culture include:</t>
  </si>
  <si>
    <t xml:space="preserve">Communication channels and the effectiveness; </t>
  </si>
  <si>
    <t xml:space="preserve">Cultural integration;</t>
  </si>
  <si>
    <t xml:space="preserve">Entrenchment of ethics and values;</t>
  </si>
  <si>
    <t xml:space="preserve">Goal alignment; and</t>
  </si>
  <si>
    <t xml:space="preserve">Management style.</t>
  </si>
  <si>
    <t xml:space="preserve">Factors that could result in the tarnishing of an institution's reputation, public perception and image.</t>
  </si>
  <si>
    <t xml:space="preserve">Economic Environment</t>
  </si>
  <si>
    <t xml:space="preserve">Risks related to the institution's economic environment.  Factors to consider include:</t>
  </si>
  <si>
    <t xml:space="preserve">Inflation;</t>
  </si>
  <si>
    <t xml:space="preserve">Foreign exchange fluctuations; and</t>
  </si>
  <si>
    <t xml:space="preserve">Interest rates.</t>
  </si>
  <si>
    <t xml:space="preserve">Political environment</t>
  </si>
  <si>
    <t xml:space="preserve">Risks emanating from political factors and decisions that have an impact on the institution's mandate and operations.  Possible factors to consider include:</t>
  </si>
  <si>
    <t xml:space="preserve">Political unrest;</t>
  </si>
  <si>
    <t xml:space="preserve">Local, Provincial and National elections; and</t>
  </si>
  <si>
    <t xml:space="preserve">Changes in office bearers.</t>
  </si>
  <si>
    <t xml:space="preserve">Natural environment</t>
  </si>
  <si>
    <t xml:space="preserve">Risks relating to the institution's natural environment and its impact on normal operations.  Consider factors such as:</t>
  </si>
  <si>
    <t xml:space="preserve">Depletion of natural resources;</t>
  </si>
  <si>
    <t xml:space="preserve">Environmental degradation;</t>
  </si>
  <si>
    <t xml:space="preserve">Spillage; and</t>
  </si>
  <si>
    <t xml:space="preserve">Pollution.</t>
  </si>
  <si>
    <t xml:space="preserve">Technological environment</t>
  </si>
  <si>
    <t xml:space="preserve">Risks emanating from the effects of advancements and changes in technology.</t>
  </si>
  <si>
    <t xml:space="preserve">Legislative environment</t>
  </si>
  <si>
    <t xml:space="preserve">Risks related to the institution's legislative environment e.g. changes in legislation, conflicting legislation.</t>
  </si>
  <si>
    <t xml:space="preserve">Material resources(procurement risk) </t>
  </si>
  <si>
    <t xml:space="preserve">Risks relating to an Institution's material resources.  Possible aspects to consider include:
• Availability of material;
• Costs and means of acquiring \ procuring resources; and
• The wastage of material resources
</t>
  </si>
  <si>
    <t xml:space="preserve">Social environment</t>
  </si>
  <si>
    <t xml:space="preserve">Risks related to the Institution's social environment.  Possible factors to consider include:
• Unemployment; and
• Migration of workers.
Risks related to the Institution's social environment.  Possible factors to consider include:
• Unemployment; and
• Migration of workers.
</t>
  </si>
  <si>
    <t xml:space="preserve">RISK APPETITE LEVEL</t>
  </si>
  <si>
    <t xml:space="preserve">RISK TOLERANCE THRESHOLDS</t>
  </si>
  <si>
    <t xml:space="preserve">No</t>
  </si>
  <si>
    <t xml:space="preserve">Category</t>
  </si>
  <si>
    <t xml:space="preserve">Acceptable</t>
  </si>
  <si>
    <t xml:space="preserve">Moderately Acceptable</t>
  </si>
  <si>
    <t xml:space="preserve">Low</t>
  </si>
  <si>
    <t xml:space="preserve">Non-existent </t>
  </si>
  <si>
    <t xml:space="preserve">1 to 4</t>
  </si>
  <si>
    <t xml:space="preserve">5 to 14</t>
  </si>
  <si>
    <t xml:space="preserve">15 - 25</t>
  </si>
  <si>
    <t xml:space="preserve">Medium</t>
  </si>
  <si>
    <t xml:space="preserve">Human Resources</t>
  </si>
  <si>
    <t xml:space="preserve">Risk has little effect on Objective Accept with Minor Monitoring</t>
  </si>
  <si>
    <t xml:space="preserve">Risk does affect Objective Accept with Regular  Monitor</t>
  </si>
  <si>
    <t xml:space="preserve">Risk Severely Affects Objective Accept with Rigorous/</t>
  </si>
  <si>
    <t xml:space="preserve">Accept/Tolerate 
</t>
  </si>
  <si>
    <t xml:space="preserve">Treat
Transfer</t>
  </si>
  <si>
    <t xml:space="preserve">Terminate 
Treat</t>
  </si>
  <si>
    <t xml:space="preserve">High</t>
  </si>
  <si>
    <t xml:space="preserve">Continuous Monitoring</t>
  </si>
  <si>
    <t xml:space="preserve">Very Good </t>
  </si>
  <si>
    <t xml:space="preserve">Within the organisation’s risk capacity it has determined that it must have an appetite for the categories of risk as indicated.  The risk appetite is further enhanced to indicate management’s considerations on different levels of inherent risk.</t>
  </si>
  <si>
    <t xml:space="preserve">Sequence of risk management actions and application of the Appetite and Tolerance levels:</t>
  </si>
  <si>
    <r>
      <rPr>
        <sz val="12"/>
        <rFont val="Arial"/>
        <family val="2"/>
        <charset val="1"/>
      </rPr>
      <t xml:space="preserve">1.</t>
    </r>
    <r>
      <rPr>
        <sz val="7"/>
        <rFont val="Times New Roman"/>
        <family val="1"/>
        <charset val="1"/>
      </rPr>
      <t xml:space="preserve">    </t>
    </r>
    <r>
      <rPr>
        <sz val="12"/>
        <rFont val="Arial"/>
        <family val="2"/>
        <charset val="1"/>
      </rPr>
      <t xml:space="preserve">A risk is identified.</t>
    </r>
  </si>
  <si>
    <r>
      <rPr>
        <sz val="12"/>
        <rFont val="Arial"/>
        <family val="2"/>
        <charset val="1"/>
      </rPr>
      <t xml:space="preserve">2.</t>
    </r>
    <r>
      <rPr>
        <sz val="7"/>
        <rFont val="Times New Roman"/>
        <family val="1"/>
        <charset val="1"/>
      </rPr>
      <t xml:space="preserve">    </t>
    </r>
    <r>
      <rPr>
        <sz val="12"/>
        <rFont val="Arial"/>
        <family val="2"/>
        <charset val="1"/>
      </rPr>
      <t xml:space="preserve">The risk is categorised.</t>
    </r>
  </si>
  <si>
    <r>
      <rPr>
        <sz val="12"/>
        <rFont val="Arial"/>
        <family val="2"/>
        <charset val="1"/>
      </rPr>
      <t xml:space="preserve">3.</t>
    </r>
    <r>
      <rPr>
        <sz val="7"/>
        <rFont val="Times New Roman"/>
        <family val="1"/>
        <charset val="1"/>
      </rPr>
      <t xml:space="preserve">    </t>
    </r>
    <r>
      <rPr>
        <sz val="12"/>
        <rFont val="Arial"/>
        <family val="2"/>
        <charset val="1"/>
      </rPr>
      <t xml:space="preserve">The risk is linked to an objective.</t>
    </r>
  </si>
  <si>
    <r>
      <rPr>
        <sz val="12"/>
        <rFont val="Arial"/>
        <family val="2"/>
        <charset val="1"/>
      </rPr>
      <t xml:space="preserve">4.</t>
    </r>
    <r>
      <rPr>
        <sz val="7"/>
        <rFont val="Times New Roman"/>
        <family val="1"/>
        <charset val="1"/>
      </rPr>
      <t xml:space="preserve">    </t>
    </r>
    <r>
      <rPr>
        <sz val="12"/>
        <rFont val="Arial"/>
        <family val="2"/>
        <charset val="1"/>
      </rPr>
      <t xml:space="preserve">Inherent impact and likelihood is determined and Inherent Risk Score is determined (Impact X Likelihood)</t>
    </r>
  </si>
  <si>
    <r>
      <rPr>
        <sz val="12"/>
        <rFont val="Arial"/>
        <family val="2"/>
        <charset val="1"/>
      </rPr>
      <t xml:space="preserve">5.</t>
    </r>
    <r>
      <rPr>
        <sz val="7"/>
        <rFont val="Times New Roman"/>
        <family val="1"/>
        <charset val="1"/>
      </rPr>
      <t xml:space="preserve">    </t>
    </r>
    <r>
      <rPr>
        <sz val="12"/>
        <rFont val="Arial"/>
        <family val="2"/>
        <charset val="1"/>
      </rPr>
      <t xml:space="preserve">Risk Appetite Level is considered:</t>
    </r>
  </si>
  <si>
    <r>
      <rPr>
        <sz val="12"/>
        <rFont val="Arial"/>
        <family val="2"/>
        <charset val="1"/>
      </rPr>
      <t xml:space="preserve">a.</t>
    </r>
    <r>
      <rPr>
        <sz val="7"/>
        <rFont val="Times New Roman"/>
        <family val="1"/>
        <charset val="1"/>
      </rPr>
      <t xml:space="preserve">    </t>
    </r>
    <r>
      <rPr>
        <sz val="12"/>
        <rFont val="Arial"/>
        <family val="2"/>
        <charset val="1"/>
      </rPr>
      <t xml:space="preserve">If the Inherent risk score is between 1 – 4 the risk has little effect on the objective and minor treatment and monitoring should be considered to lower the residual risk;</t>
    </r>
  </si>
  <si>
    <r>
      <rPr>
        <sz val="12"/>
        <rFont val="Arial"/>
        <family val="2"/>
        <charset val="1"/>
      </rPr>
      <t xml:space="preserve">b.</t>
    </r>
    <r>
      <rPr>
        <sz val="7"/>
        <rFont val="Times New Roman"/>
        <family val="1"/>
        <charset val="1"/>
      </rPr>
      <t xml:space="preserve">    </t>
    </r>
    <r>
      <rPr>
        <sz val="12"/>
        <rFont val="Arial"/>
        <family val="2"/>
        <charset val="1"/>
      </rPr>
      <t xml:space="preserve">If the Inherent risk score is between 5 – 14 the risk does affect the objective can be accepted but regular monitoring and effective controls will have to be instated to reduce residual risk to tolerable levels;</t>
    </r>
  </si>
  <si>
    <r>
      <rPr>
        <sz val="12"/>
        <rFont val="Arial"/>
        <family val="2"/>
        <charset val="1"/>
      </rPr>
      <t xml:space="preserve">c.</t>
    </r>
    <r>
      <rPr>
        <sz val="7"/>
        <rFont val="Times New Roman"/>
        <family val="1"/>
        <charset val="1"/>
      </rPr>
      <t xml:space="preserve">    </t>
    </r>
    <r>
      <rPr>
        <sz val="12"/>
        <rFont val="Arial"/>
        <family val="2"/>
        <charset val="1"/>
      </rPr>
      <t xml:space="preserve">If the Inherent risk score is between 15 – 25 the risk severely affects the objective.  If it is unavoidable to accept the risk (e.g. it is imposed by legislation, by mandate etc.), the risk is accepted but will be rigorously controlled and monitored.  Strong controls will have to be implemented and regularly tested and continuous monitoring should take place.</t>
    </r>
  </si>
  <si>
    <r>
      <rPr>
        <sz val="12"/>
        <rFont val="Arial"/>
        <family val="2"/>
        <charset val="1"/>
      </rPr>
      <t xml:space="preserve">6.</t>
    </r>
    <r>
      <rPr>
        <sz val="7"/>
        <rFont val="Times New Roman"/>
        <family val="1"/>
        <charset val="1"/>
      </rPr>
      <t xml:space="preserve">    </t>
    </r>
    <r>
      <rPr>
        <sz val="12"/>
        <rFont val="Arial"/>
        <family val="2"/>
        <charset val="1"/>
      </rPr>
      <t xml:space="preserve">Once the risk is accepted and the appetite has been determined the tolerance level should be set.  The control effectiveness rating will have an effect on the Inherent Impact and/or Likelihood Scoring.</t>
    </r>
  </si>
  <si>
    <r>
      <rPr>
        <sz val="12"/>
        <rFont val="Arial"/>
        <family val="2"/>
        <charset val="1"/>
      </rPr>
      <t xml:space="preserve">a.</t>
    </r>
    <r>
      <rPr>
        <sz val="7"/>
        <rFont val="Times New Roman"/>
        <family val="1"/>
        <charset val="1"/>
      </rPr>
      <t xml:space="preserve">    </t>
    </r>
    <r>
      <rPr>
        <sz val="12"/>
        <rFont val="Arial"/>
        <family val="2"/>
        <charset val="1"/>
      </rPr>
      <t xml:space="preserve">If the control is effective and the risk scoring is reduced to between 1 – 4 then the risk is managed within the Low Risk tolerance level.</t>
    </r>
  </si>
  <si>
    <r>
      <rPr>
        <sz val="12"/>
        <rFont val="Arial"/>
        <family val="2"/>
        <charset val="1"/>
      </rPr>
      <t xml:space="preserve">b.</t>
    </r>
    <r>
      <rPr>
        <sz val="7"/>
        <rFont val="Times New Roman"/>
        <family val="1"/>
        <charset val="1"/>
      </rPr>
      <t xml:space="preserve">    </t>
    </r>
    <r>
      <rPr>
        <sz val="12"/>
        <rFont val="Arial"/>
        <family val="2"/>
        <charset val="1"/>
      </rPr>
      <t xml:space="preserve">If controls are not effective yet and the risk score is between 5 – 14 further enhancements to the controls are required.  This will also be an indication to internal audit as to the amount of time and effort to be spent in auditing this risk environment.</t>
    </r>
  </si>
  <si>
    <r>
      <rPr>
        <sz val="12"/>
        <rFont val="Arial"/>
        <family val="2"/>
        <charset val="1"/>
      </rPr>
      <t xml:space="preserve">c.</t>
    </r>
    <r>
      <rPr>
        <sz val="7"/>
        <rFont val="Times New Roman"/>
        <family val="1"/>
        <charset val="1"/>
      </rPr>
      <t xml:space="preserve">    </t>
    </r>
    <r>
      <rPr>
        <sz val="12"/>
        <rFont val="Arial"/>
        <family val="2"/>
        <charset val="1"/>
      </rPr>
      <t xml:space="preserve">If controls are failing or non-existent the scoring will be between 15 – 25.  This would indicate that immediate treatment is needed from management and internal audit also identify certain consulting activities to assist management in this regard.</t>
    </r>
  </si>
  <si>
    <r>
      <rPr>
        <sz val="12"/>
        <rFont val="Arial"/>
        <family val="2"/>
        <charset val="1"/>
      </rPr>
      <t xml:space="preserve">7.</t>
    </r>
    <r>
      <rPr>
        <sz val="7"/>
        <rFont val="Times New Roman"/>
        <family val="1"/>
        <charset val="1"/>
      </rPr>
      <t xml:space="preserve">    </t>
    </r>
    <r>
      <rPr>
        <sz val="12"/>
        <rFont val="Arial"/>
        <family val="2"/>
        <charset val="1"/>
      </rPr>
      <t xml:space="preserve">The outcome of the above will determine the risk response.  Because we are now at a stage where termination or avoidance of the risk can no longer be an option we are left with:</t>
    </r>
  </si>
  <si>
    <r>
      <rPr>
        <sz val="12"/>
        <rFont val="Arial"/>
        <family val="2"/>
        <charset val="1"/>
      </rPr>
      <t xml:space="preserve">a.</t>
    </r>
    <r>
      <rPr>
        <sz val="7"/>
        <rFont val="Times New Roman"/>
        <family val="1"/>
        <charset val="1"/>
      </rPr>
      <t xml:space="preserve">    </t>
    </r>
    <r>
      <rPr>
        <sz val="12"/>
        <rFont val="Arial"/>
        <family val="2"/>
        <charset val="1"/>
      </rPr>
      <t xml:space="preserve">Treatment (Treatment for medium risk and immediate treatment for high risk);</t>
    </r>
  </si>
  <si>
    <r>
      <rPr>
        <sz val="12"/>
        <rFont val="Arial"/>
        <family val="2"/>
        <charset val="1"/>
      </rPr>
      <t xml:space="preserve">b.</t>
    </r>
    <r>
      <rPr>
        <sz val="7"/>
        <rFont val="Times New Roman"/>
        <family val="1"/>
        <charset val="1"/>
      </rPr>
      <t xml:space="preserve">    </t>
    </r>
    <r>
      <rPr>
        <sz val="12"/>
        <rFont val="Arial"/>
        <family val="2"/>
        <charset val="1"/>
      </rPr>
      <t xml:space="preserve">Transfer (not necessarily possible in the government sector); and</t>
    </r>
  </si>
  <si>
    <r>
      <rPr>
        <sz val="12"/>
        <rFont val="Arial"/>
        <family val="2"/>
        <charset val="1"/>
      </rPr>
      <t xml:space="preserve">c.</t>
    </r>
    <r>
      <rPr>
        <sz val="7"/>
        <rFont val="Times New Roman"/>
        <family val="1"/>
        <charset val="1"/>
      </rPr>
      <t xml:space="preserve">    </t>
    </r>
    <r>
      <rPr>
        <sz val="12"/>
        <rFont val="Arial"/>
        <family val="2"/>
        <charset val="1"/>
      </rPr>
      <t xml:space="preserve">Tolerate (for low risk items).</t>
    </r>
  </si>
  <si>
    <t xml:space="preserve">non existent</t>
  </si>
  <si>
    <t xml:space="preserve">Human Resource</t>
  </si>
  <si>
    <t xml:space="preserve">Material resources (procurement risk)</t>
  </si>
  <si>
    <t xml:space="preserve">Disaster recovery/business continuity</t>
  </si>
  <si>
    <t xml:space="preserve">Political Environment</t>
  </si>
  <si>
    <t xml:space="preserve">Social Environment</t>
  </si>
  <si>
    <t xml:space="preserve">Natural Environment</t>
  </si>
  <si>
    <t xml:space="preserve">Technological Environment</t>
  </si>
  <si>
    <t xml:space="preserve">Legislative Environment</t>
  </si>
  <si>
    <t xml:space="preserve">Effectiveness category</t>
  </si>
  <si>
    <t xml:space="preserve">Category definition</t>
  </si>
  <si>
    <t xml:space="preserve">Factor</t>
  </si>
  <si>
    <t xml:space="preserve">Risk exposure is effectively controlled and managed </t>
  </si>
  <si>
    <t xml:space="preserve">0.2</t>
  </si>
  <si>
    <t xml:space="preserve">Majority of risk exposure is effectively controlled and managed</t>
  </si>
  <si>
    <t xml:space="preserve">There is room for some improvement</t>
  </si>
  <si>
    <t xml:space="preserve">Some of the risk exposure appears to be controlled, but there are major deficiencies</t>
  </si>
  <si>
    <t xml:space="preserve">0.8</t>
  </si>
  <si>
    <t xml:space="preserve">Non existent </t>
  </si>
  <si>
    <t xml:space="preserve">Control measures do not exist</t>
  </si>
  <si>
    <t xml:space="preserve">CHIEF DIRECTORATE  </t>
  </si>
  <si>
    <t xml:space="preserve">RISK NO.</t>
  </si>
  <si>
    <t xml:space="preserve">RISK DESCRIPTION</t>
  </si>
  <si>
    <t xml:space="preserve">RESIDUAL AS AT MARCH 2025</t>
  </si>
  <si>
    <t xml:space="preserve">OVERALL PROGRESSS TO DATE ON THE IMPLEMENTATION  OF ACTION PLANS TO ADDRESS THE RISK</t>
  </si>
  <si>
    <t xml:space="preserve">RESIDUAL AS AT MARCH 2026</t>
  </si>
  <si>
    <t xml:space="preserve">ACTION OWNER
</t>
  </si>
  <si>
    <r>
      <rPr>
        <sz val="11"/>
        <rFont val="Arial"/>
        <family val="2"/>
        <charset val="1"/>
      </rPr>
      <t xml:space="preserve">Conduct  awarenesses on records management
</t>
    </r>
    <r>
      <rPr>
        <sz val="11"/>
        <color theme="9"/>
        <rFont val="Arial"/>
        <family val="2"/>
        <charset val="1"/>
      </rPr>
      <t xml:space="preserve">
</t>
    </r>
    <r>
      <rPr>
        <sz val="11"/>
        <rFont val="Arial"/>
        <family val="2"/>
        <charset val="1"/>
      </rPr>
      <t xml:space="preserve">
</t>
    </r>
  </si>
  <si>
    <r>
      <rPr>
        <b val="true"/>
        <sz val="11"/>
        <color rgb="FF000000"/>
        <rFont val="Arial Narrow"/>
        <family val="2"/>
        <charset val="1"/>
      </rPr>
      <t xml:space="preserve">15-25 [</t>
    </r>
    <r>
      <rPr>
        <b val="true"/>
        <sz val="11"/>
        <color rgb="FF000000"/>
        <rFont val="Calibri"/>
        <family val="2"/>
        <charset val="1"/>
      </rPr>
      <t xml:space="preserve">Risk Severely Affects Objective Accept with Rigorous/ Continuous Monitoring]</t>
    </r>
  </si>
  <si>
    <t xml:space="preserve">Medium </t>
  </si>
  <si>
    <r>
      <rPr>
        <b val="true"/>
        <sz val="11"/>
        <color rgb="FF000000"/>
        <rFont val="Arial Narrow"/>
        <family val="2"/>
        <charset val="1"/>
      </rPr>
      <t xml:space="preserve">5-14 [</t>
    </r>
    <r>
      <rPr>
        <b val="true"/>
        <sz val="11"/>
        <color rgb="FF000000"/>
        <rFont val="Calibri"/>
        <family val="2"/>
        <charset val="1"/>
      </rPr>
      <t xml:space="preserve">Risk Severely Affects Objective Accept with Rigorous/ Continuous Monitoring]</t>
    </r>
  </si>
  <si>
    <t xml:space="preserve">Low </t>
  </si>
  <si>
    <r>
      <rPr>
        <b val="true"/>
        <sz val="11"/>
        <color rgb="FF000000"/>
        <rFont val="Arial Narrow"/>
        <family val="2"/>
        <charset val="1"/>
      </rPr>
      <t xml:space="preserve">1-4 [</t>
    </r>
    <r>
      <rPr>
        <b val="true"/>
        <sz val="11"/>
        <color rgb="FF000000"/>
        <rFont val="Calibri"/>
        <family val="2"/>
        <charset val="1"/>
      </rPr>
      <t xml:space="preserve">Risk has little effect on Objective -Accept with Minor Monitoring]</t>
    </r>
  </si>
  <si>
    <t xml:space="preserve">This is a process to modify or respond to risk. Risk response can involve one or a combination of:</t>
  </si>
  <si>
    <r>
      <rPr>
        <sz val="11"/>
        <color rgb="FFAC0000"/>
        <rFont val="Arial"/>
        <family val="2"/>
        <charset val="1"/>
      </rPr>
      <t xml:space="preserve">Tolerate/Accept: </t>
    </r>
    <r>
      <rPr>
        <sz val="11"/>
        <color rgb="FF002060"/>
        <rFont val="Arial"/>
        <family val="2"/>
        <charset val="1"/>
      </rPr>
      <t xml:space="preserve">an informed decision to tolerate or take on a particular risk</t>
    </r>
  </si>
  <si>
    <r>
      <rPr>
        <sz val="11"/>
        <color rgb="FFAC0000"/>
        <rFont val="Arial"/>
        <family val="2"/>
        <charset val="1"/>
      </rPr>
      <t xml:space="preserve">Terminate/Avoid: </t>
    </r>
    <r>
      <rPr>
        <sz val="11"/>
        <color rgb="FF002060"/>
        <rFont val="Arial"/>
        <family val="2"/>
        <charset val="1"/>
      </rPr>
      <t xml:space="preserve">an informed decision not to be involved in, or to withdraw from, an activity, in order not to be exposed to a particular risk.</t>
    </r>
  </si>
  <si>
    <r>
      <rPr>
        <sz val="11"/>
        <color rgb="FFAC0000"/>
        <rFont val="Arial"/>
        <family val="2"/>
        <charset val="1"/>
      </rPr>
      <t xml:space="preserve">Treat /Mitigate: </t>
    </r>
    <r>
      <rPr>
        <sz val="11"/>
        <color rgb="FF002060"/>
        <rFont val="Arial"/>
        <family val="2"/>
        <charset val="1"/>
      </rPr>
      <t xml:space="preserve">Form of risk response involving actions designed to reduce a risk or its consequences.</t>
    </r>
  </si>
  <si>
    <r>
      <rPr>
        <sz val="11"/>
        <color rgb="FFAC0000"/>
        <rFont val="Arial"/>
        <family val="2"/>
        <charset val="1"/>
      </rPr>
      <t xml:space="preserve"> Transfer/Sharing,risk: </t>
    </r>
    <r>
      <rPr>
        <sz val="11"/>
        <color rgb="FF002060"/>
        <rFont val="Arial"/>
        <family val="2"/>
        <charset val="1"/>
      </rPr>
      <t xml:space="preserve">Form of risk response, involving contractual risk transfer to other parties, including insurance.</t>
    </r>
  </si>
  <si>
    <t xml:space="preserve">The following is a rating table that will be utilised to categorise the various levels of inherent risk.  </t>
  </si>
  <si>
    <t xml:space="preserve"> Risk rating</t>
  </si>
  <si>
    <t xml:space="preserve">Inherent risk magnitude</t>
  </si>
  <si>
    <t xml:space="preserve">Response</t>
  </si>
  <si>
    <t xml:space="preserve">Unacceptable level of risk “ High level of control intervention required to achieve an acceptable level of residual risk”</t>
  </si>
  <si>
    <t xml:space="preserve">5 -14</t>
  </si>
  <si>
    <t xml:space="preserve">Moderately acceptable level of risk “ Moderate level of control intervention required to achieve an acceptable level of residual risk”</t>
  </si>
  <si>
    <t xml:space="preserve">1 - 4</t>
  </si>
  <si>
    <t xml:space="preserve">Acceptable “ Low level of control intervention required, if any”</t>
  </si>
  <si>
    <t xml:space="preserve">The following is a rating table that will be utilised to categorise the various levels of residual risk.  </t>
  </si>
  <si>
    <t xml:space="preserve">Risk rating</t>
  </si>
  <si>
    <t xml:space="preserve">Residual risk magnitude</t>
  </si>
  <si>
    <t xml:space="preserve">Unacceptable level of residual risk “Implies that the controls are either fundamentally inadequate (poor design) or ineffective (poor implementation). Controls require substantial redesign, or a greater emphasis on proper implementation.</t>
  </si>
  <si>
    <t xml:space="preserve">5 - 14</t>
  </si>
  <si>
    <t xml:space="preserve">Moderately Acceptable level of residual risk “Implies that the controls are either inadequate (poor design) or ineffective (poor implementation).</t>
  </si>
  <si>
    <t xml:space="preserve">Controls require some redesign, or a more emphasis on proper implementation.</t>
  </si>
  <si>
    <t xml:space="preserve">Mostly acceptable level of residual risk “Requires minimal control improvements”.</t>
  </si>
</sst>
</file>

<file path=xl/styles.xml><?xml version="1.0" encoding="utf-8"?>
<styleSheet xmlns="http://schemas.openxmlformats.org/spreadsheetml/2006/main">
  <numFmts count="7">
    <numFmt numFmtId="164" formatCode="General"/>
    <numFmt numFmtId="165" formatCode="General"/>
    <numFmt numFmtId="166" formatCode="m/d/yyyy"/>
    <numFmt numFmtId="167" formatCode="mmm\-yy"/>
    <numFmt numFmtId="168" formatCode="d\-mmm\-yy"/>
    <numFmt numFmtId="169" formatCode="0%"/>
    <numFmt numFmtId="170" formatCode="d\-mmm"/>
  </numFmts>
  <fonts count="48">
    <font>
      <sz val="11"/>
      <color theme="1"/>
      <name val="Calibri"/>
      <family val="2"/>
      <charset val="1"/>
    </font>
    <font>
      <sz val="10"/>
      <name val="Arial"/>
      <family val="0"/>
    </font>
    <font>
      <sz val="10"/>
      <name val="Arial"/>
      <family val="0"/>
    </font>
    <font>
      <sz val="10"/>
      <name val="Arial"/>
      <family val="0"/>
    </font>
    <font>
      <sz val="10"/>
      <name val="Arial"/>
      <family val="2"/>
      <charset val="1"/>
    </font>
    <font>
      <sz val="11"/>
      <color rgb="FF000000"/>
      <name val="Calibri"/>
      <family val="2"/>
      <charset val="1"/>
    </font>
    <font>
      <sz val="11"/>
      <name val="Arial"/>
      <family val="2"/>
      <charset val="1"/>
    </font>
    <font>
      <b val="true"/>
      <sz val="11"/>
      <name val="Arial"/>
      <family val="2"/>
      <charset val="1"/>
    </font>
    <font>
      <b val="true"/>
      <u val="single"/>
      <sz val="11"/>
      <name val="Arial"/>
      <family val="2"/>
      <charset val="1"/>
    </font>
    <font>
      <b val="true"/>
      <sz val="10"/>
      <name val="Arial"/>
      <family val="2"/>
      <charset val="1"/>
    </font>
    <font>
      <b val="true"/>
      <sz val="8"/>
      <name val="Arial"/>
      <family val="2"/>
      <charset val="1"/>
    </font>
    <font>
      <b val="true"/>
      <sz val="11"/>
      <color theme="1"/>
      <name val="Arial"/>
      <family val="2"/>
      <charset val="1"/>
    </font>
    <font>
      <b val="true"/>
      <sz val="9"/>
      <name val="Arial"/>
      <family val="2"/>
      <charset val="1"/>
    </font>
    <font>
      <sz val="11"/>
      <color theme="1"/>
      <name val="Arial"/>
      <family val="2"/>
      <charset val="1"/>
    </font>
    <font>
      <sz val="11"/>
      <color rgb="FFFF0000"/>
      <name val="Arial"/>
      <family val="2"/>
      <charset val="1"/>
    </font>
    <font>
      <b val="true"/>
      <sz val="11"/>
      <color rgb="FFFF0000"/>
      <name val="Arial"/>
      <family val="2"/>
      <charset val="1"/>
    </font>
    <font>
      <sz val="11"/>
      <name val="Calibri"/>
      <family val="2"/>
      <charset val="1"/>
    </font>
    <font>
      <b val="true"/>
      <sz val="14"/>
      <name val="Arial"/>
      <family val="2"/>
      <charset val="1"/>
    </font>
    <font>
      <b val="true"/>
      <sz val="14"/>
      <name val="Calibri"/>
      <family val="2"/>
      <charset val="1"/>
    </font>
    <font>
      <sz val="14"/>
      <name val="Calibri"/>
      <family val="2"/>
      <charset val="1"/>
    </font>
    <font>
      <sz val="12"/>
      <name val="Arial"/>
      <family val="2"/>
      <charset val="1"/>
    </font>
    <font>
      <b val="true"/>
      <sz val="12"/>
      <name val="Arial"/>
      <family val="2"/>
      <charset val="1"/>
    </font>
    <font>
      <b val="true"/>
      <sz val="12"/>
      <color theme="1"/>
      <name val="Arial"/>
      <family val="2"/>
      <charset val="1"/>
    </font>
    <font>
      <sz val="11"/>
      <color rgb="FF99CC00"/>
      <name val="Arial"/>
      <family val="2"/>
      <charset val="1"/>
    </font>
    <font>
      <b val="true"/>
      <sz val="11"/>
      <color rgb="FF00B050"/>
      <name val="Arial"/>
      <family val="2"/>
      <charset val="1"/>
    </font>
    <font>
      <b val="true"/>
      <sz val="11"/>
      <color rgb="FFFFC000"/>
      <name val="Arial"/>
      <family val="2"/>
      <charset val="1"/>
    </font>
    <font>
      <sz val="11"/>
      <color rgb="FF000000"/>
      <name val="Arial"/>
      <family val="2"/>
      <charset val="1"/>
    </font>
    <font>
      <sz val="12"/>
      <color theme="1"/>
      <name val="Arial"/>
      <family val="2"/>
      <charset val="1"/>
    </font>
    <font>
      <sz val="12"/>
      <color rgb="FFFF0000"/>
      <name val="Arial"/>
      <family val="2"/>
      <charset val="1"/>
    </font>
    <font>
      <b val="true"/>
      <sz val="12"/>
      <color rgb="FF000000"/>
      <name val="Arial Narrow"/>
      <family val="2"/>
      <charset val="1"/>
    </font>
    <font>
      <sz val="12"/>
      <color rgb="FF000000"/>
      <name val="Arial Narrow"/>
      <family val="2"/>
      <charset val="1"/>
    </font>
    <font>
      <b val="true"/>
      <sz val="10"/>
      <color rgb="FF993366"/>
      <name val="Arial"/>
      <family val="2"/>
      <charset val="1"/>
    </font>
    <font>
      <b val="true"/>
      <sz val="11"/>
      <color theme="0"/>
      <name val="Arial"/>
      <family val="2"/>
      <charset val="1"/>
    </font>
    <font>
      <b val="true"/>
      <sz val="11"/>
      <color rgb="FF000000"/>
      <name val="Arial"/>
      <family val="2"/>
      <charset val="1"/>
    </font>
    <font>
      <b val="true"/>
      <sz val="10"/>
      <color rgb="FF000000"/>
      <name val="Arial"/>
      <family val="2"/>
      <charset val="1"/>
    </font>
    <font>
      <b val="true"/>
      <sz val="11"/>
      <color rgb="FFFFFFFF"/>
      <name val="Arial"/>
      <family val="2"/>
      <charset val="1"/>
    </font>
    <font>
      <sz val="7"/>
      <name val="Times New Roman"/>
      <family val="1"/>
      <charset val="1"/>
    </font>
    <font>
      <sz val="9"/>
      <color rgb="FF000000"/>
      <name val="Arial"/>
      <family val="2"/>
      <charset val="1"/>
    </font>
    <font>
      <b val="true"/>
      <sz val="9"/>
      <color rgb="FFFFFFFF"/>
      <name val="Arial"/>
      <family val="2"/>
      <charset val="1"/>
    </font>
    <font>
      <sz val="9"/>
      <name val="Arial"/>
      <family val="2"/>
      <charset val="1"/>
    </font>
    <font>
      <b val="true"/>
      <sz val="12"/>
      <color rgb="FF000000"/>
      <name val="Arial"/>
      <family val="2"/>
      <charset val="1"/>
    </font>
    <font>
      <sz val="9"/>
      <color rgb="FFFFFFFF"/>
      <name val="Arial"/>
      <family val="2"/>
      <charset val="1"/>
    </font>
    <font>
      <sz val="11"/>
      <color theme="9"/>
      <name val="Arial"/>
      <family val="2"/>
      <charset val="1"/>
    </font>
    <font>
      <b val="true"/>
      <sz val="11"/>
      <color rgb="FF000000"/>
      <name val="Arial Narrow"/>
      <family val="2"/>
      <charset val="1"/>
    </font>
    <font>
      <b val="true"/>
      <sz val="11"/>
      <color rgb="FF000000"/>
      <name val="Calibri"/>
      <family val="2"/>
      <charset val="1"/>
    </font>
    <font>
      <b val="true"/>
      <sz val="11"/>
      <color rgb="FF993366"/>
      <name val="Arial"/>
      <family val="2"/>
      <charset val="1"/>
    </font>
    <font>
      <sz val="11"/>
      <color rgb="FF002060"/>
      <name val="Arial"/>
      <family val="2"/>
      <charset val="1"/>
    </font>
    <font>
      <sz val="11"/>
      <color rgb="FFAC0000"/>
      <name val="Arial"/>
      <family val="2"/>
      <charset val="1"/>
    </font>
  </fonts>
  <fills count="17">
    <fill>
      <patternFill patternType="none"/>
    </fill>
    <fill>
      <patternFill patternType="gray125"/>
    </fill>
    <fill>
      <patternFill patternType="solid">
        <fgColor rgb="FFCCFFFF"/>
        <bgColor rgb="FFCCFFFF"/>
      </patternFill>
    </fill>
    <fill>
      <patternFill patternType="solid">
        <fgColor theme="0"/>
        <bgColor rgb="FFFFFFCC"/>
      </patternFill>
    </fill>
    <fill>
      <patternFill patternType="solid">
        <fgColor rgb="FF00FF00"/>
        <bgColor rgb="FF30FC14"/>
      </patternFill>
    </fill>
    <fill>
      <patternFill patternType="solid">
        <fgColor rgb="FFFFC000"/>
        <bgColor rgb="FFFF9900"/>
      </patternFill>
    </fill>
    <fill>
      <patternFill patternType="solid">
        <fgColor rgb="FF30FC14"/>
        <bgColor rgb="FF5AED1F"/>
      </patternFill>
    </fill>
    <fill>
      <patternFill patternType="solid">
        <fgColor rgb="FFFF0000"/>
        <bgColor rgb="FFC00000"/>
      </patternFill>
    </fill>
    <fill>
      <patternFill patternType="solid">
        <fgColor rgb="FFBFBFBF"/>
        <bgColor rgb="FFC4BD97"/>
      </patternFill>
    </fill>
    <fill>
      <patternFill patternType="solid">
        <fgColor rgb="FFD9D9D9"/>
        <bgColor rgb="FFFFC7CE"/>
      </patternFill>
    </fill>
    <fill>
      <patternFill patternType="solid">
        <fgColor rgb="FF8DB4E2"/>
        <bgColor rgb="FF95B3D7"/>
      </patternFill>
    </fill>
    <fill>
      <patternFill patternType="solid">
        <fgColor rgb="FFC4BD97"/>
        <bgColor rgb="FFBFBFBF"/>
      </patternFill>
    </fill>
    <fill>
      <patternFill patternType="solid">
        <fgColor rgb="FF339933"/>
        <bgColor rgb="FF00B050"/>
      </patternFill>
    </fill>
    <fill>
      <patternFill patternType="solid">
        <fgColor rgb="FF00B050"/>
        <bgColor rgb="FF339933"/>
      </patternFill>
    </fill>
    <fill>
      <patternFill patternType="solid">
        <fgColor rgb="FF002060"/>
        <bgColor rgb="FF000080"/>
      </patternFill>
    </fill>
    <fill>
      <patternFill patternType="solid">
        <fgColor rgb="FFFFFF00"/>
        <bgColor rgb="FFFFFF00"/>
      </patternFill>
    </fill>
    <fill>
      <patternFill patternType="solid">
        <fgColor rgb="FF0070C0"/>
        <bgColor rgb="FF008080"/>
      </patternFill>
    </fill>
  </fills>
  <borders count="22">
    <border diagonalUp="false" diagonalDown="false">
      <left/>
      <right/>
      <top/>
      <bottom/>
      <diagonal/>
    </border>
    <border diagonalUp="false" diagonalDown="false">
      <left/>
      <right/>
      <top/>
      <bottom style="double"/>
      <diagonal/>
    </border>
    <border diagonalUp="false" diagonalDown="false">
      <left/>
      <right/>
      <top/>
      <bottom style="mediu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right style="thin"/>
      <top/>
      <bottom style="thin"/>
      <diagonal/>
    </border>
    <border diagonalUp="false" diagonalDown="false">
      <left style="thin"/>
      <right style="thin">
        <color theme="4" tint="0.3999"/>
      </right>
      <top style="thin"/>
      <bottom style="thin"/>
      <diagonal/>
    </border>
    <border diagonalUp="false" diagonalDown="false">
      <left style="thin"/>
      <right/>
      <top style="thin"/>
      <bottom/>
      <diagonal/>
    </border>
    <border diagonalUp="false" diagonalDown="false">
      <left style="medium"/>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right style="medium"/>
      <top style="medium"/>
      <bottom style="medium"/>
      <diagonal/>
    </border>
    <border diagonalUp="false" diagonalDown="false">
      <left/>
      <right style="medium"/>
      <top/>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30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9" fillId="2" borderId="3" xfId="20" applyFont="true" applyBorder="true" applyAlignment="true" applyProtection="false">
      <alignment horizontal="center" vertical="center" textRotation="0" wrapText="false" indent="0" shrinkToFit="false"/>
      <protection locked="true" hidden="false"/>
    </xf>
    <xf numFmtId="164" fontId="9" fillId="2" borderId="3" xfId="20" applyFont="true" applyBorder="true" applyAlignment="true" applyProtection="false">
      <alignment horizontal="center" vertical="center" textRotation="0" wrapText="true" indent="0" shrinkToFit="false"/>
      <protection locked="true" hidden="false"/>
    </xf>
    <xf numFmtId="164" fontId="9" fillId="2" borderId="3" xfId="20" applyFont="true" applyBorder="true" applyAlignment="true" applyProtection="false">
      <alignment horizontal="center" vertical="center" textRotation="90" wrapText="true" indent="0" shrinkToFit="false"/>
      <protection locked="true" hidden="false"/>
    </xf>
    <xf numFmtId="164" fontId="9" fillId="2" borderId="3" xfId="0" applyFont="true" applyBorder="true" applyAlignment="true" applyProtection="false">
      <alignment horizontal="center" vertical="center" textRotation="90" wrapText="true" indent="0" shrinkToFit="false"/>
      <protection locked="true" hidden="false"/>
    </xf>
    <xf numFmtId="164" fontId="9" fillId="2" borderId="4" xfId="0" applyFont="true" applyBorder="true" applyAlignment="true" applyProtection="false">
      <alignment horizontal="center" vertical="center" textRotation="0" wrapText="true" indent="0" shrinkToFit="false"/>
      <protection locked="true" hidden="false"/>
    </xf>
    <xf numFmtId="164" fontId="9" fillId="2" borderId="5"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6" fillId="3" borderId="6" xfId="0" applyFont="true" applyBorder="true" applyAlignment="true" applyProtection="false">
      <alignment horizontal="left" vertical="center" textRotation="0" wrapText="true" indent="0" shrinkToFit="false"/>
      <protection locked="true" hidden="false"/>
    </xf>
    <xf numFmtId="164" fontId="7" fillId="3" borderId="6" xfId="0" applyFont="true" applyBorder="true" applyAlignment="true" applyProtection="false">
      <alignment horizontal="center" vertical="center" textRotation="0" wrapText="true" indent="0" shrinkToFit="false"/>
      <protection locked="true" hidden="false"/>
    </xf>
    <xf numFmtId="164" fontId="6" fillId="3" borderId="6" xfId="0" applyFont="true" applyBorder="true" applyAlignment="true" applyProtection="false">
      <alignment horizontal="general" vertical="top" textRotation="0" wrapText="true" indent="0" shrinkToFit="false"/>
      <protection locked="true" hidden="false"/>
    </xf>
    <xf numFmtId="165" fontId="7" fillId="4" borderId="6" xfId="0" applyFont="true" applyBorder="true" applyAlignment="true" applyProtection="false">
      <alignment horizontal="center" vertical="center" textRotation="0" wrapText="true" indent="0" shrinkToFit="false"/>
      <protection locked="true" hidden="false"/>
    </xf>
    <xf numFmtId="164" fontId="11" fillId="3" borderId="6" xfId="0" applyFont="true" applyBorder="true" applyAlignment="true" applyProtection="false">
      <alignment horizontal="center" vertical="center" textRotation="90" wrapText="false" indent="0" shrinkToFit="false"/>
      <protection locked="true" hidden="false"/>
    </xf>
    <xf numFmtId="165" fontId="12" fillId="3" borderId="6" xfId="0" applyFont="true" applyBorder="true" applyAlignment="true" applyProtection="false">
      <alignment horizontal="center" vertical="center" textRotation="0" wrapText="false" indent="0" shrinkToFit="false"/>
      <protection locked="true" hidden="false"/>
    </xf>
    <xf numFmtId="165" fontId="7" fillId="3" borderId="6" xfId="0" applyFont="true" applyBorder="true" applyAlignment="true" applyProtection="false">
      <alignment horizontal="center" vertical="center" textRotation="0" wrapText="true" indent="0" shrinkToFit="false"/>
      <protection locked="true" hidden="false"/>
    </xf>
    <xf numFmtId="165" fontId="11" fillId="3" borderId="6" xfId="0" applyFont="true" applyBorder="true" applyAlignment="true" applyProtection="false">
      <alignment horizontal="center" vertical="center" textRotation="90" wrapText="false" indent="0" shrinkToFit="false"/>
      <protection locked="true" hidden="false"/>
    </xf>
    <xf numFmtId="164" fontId="6" fillId="3" borderId="6" xfId="0" applyFont="true" applyBorder="true" applyAlignment="true" applyProtection="false">
      <alignment horizontal="left" vertical="top" textRotation="0" wrapText="true" indent="0" shrinkToFit="false"/>
      <protection locked="true" hidden="false"/>
    </xf>
    <xf numFmtId="164" fontId="6" fillId="3" borderId="7"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7" fillId="3" borderId="6" xfId="0" applyFont="true" applyBorder="true" applyAlignment="true" applyProtection="false">
      <alignment horizontal="center" vertical="center" textRotation="0" wrapText="false" indent="0" shrinkToFit="false"/>
      <protection locked="true" hidden="false"/>
    </xf>
    <xf numFmtId="164" fontId="13" fillId="3" borderId="6" xfId="0" applyFont="true" applyBorder="true" applyAlignment="true" applyProtection="false">
      <alignment horizontal="general" vertical="top" textRotation="0" wrapText="true" indent="0" shrinkToFit="false"/>
      <protection locked="true" hidden="false"/>
    </xf>
    <xf numFmtId="164" fontId="6" fillId="3" borderId="6" xfId="20" applyFont="true" applyBorder="true" applyAlignment="true" applyProtection="false">
      <alignment horizontal="left" vertical="top" textRotation="0" wrapText="true" indent="0" shrinkToFit="false"/>
      <protection locked="true" hidden="false"/>
    </xf>
    <xf numFmtId="166" fontId="6" fillId="3" borderId="6" xfId="0" applyFont="true" applyBorder="true" applyAlignment="true" applyProtection="false">
      <alignment horizontal="left" vertical="top" textRotation="0" wrapText="true" indent="0" shrinkToFit="false"/>
      <protection locked="true" hidden="false"/>
    </xf>
    <xf numFmtId="165" fontId="7" fillId="3" borderId="6" xfId="0" applyFont="true" applyBorder="true" applyAlignment="true" applyProtection="false">
      <alignment horizontal="center" vertical="center" textRotation="90" wrapText="false" indent="0" shrinkToFit="false"/>
      <protection locked="true" hidden="false"/>
    </xf>
    <xf numFmtId="164" fontId="6" fillId="3" borderId="7" xfId="0" applyFont="true" applyBorder="true" applyAlignment="true" applyProtection="false">
      <alignment horizontal="left" vertical="top" textRotation="0" wrapText="true" indent="0" shrinkToFit="false"/>
      <protection locked="true" hidden="false"/>
    </xf>
    <xf numFmtId="164" fontId="7" fillId="3" borderId="6" xfId="0" applyFont="true" applyBorder="true" applyAlignment="true" applyProtection="false">
      <alignment horizontal="center" vertical="center" textRotation="90" wrapText="false" indent="0" shrinkToFit="false"/>
      <protection locked="true" hidden="false"/>
    </xf>
    <xf numFmtId="164" fontId="6" fillId="3" borderId="7" xfId="0" applyFont="true" applyBorder="true" applyAlignment="true" applyProtection="true">
      <alignment horizontal="general" vertical="top" textRotation="0" wrapText="true" indent="0" shrinkToFit="false"/>
      <protection locked="false" hidden="false"/>
    </xf>
    <xf numFmtId="167" fontId="6" fillId="3" borderId="6" xfId="0" applyFont="true" applyBorder="true" applyAlignment="true" applyProtection="false">
      <alignment horizontal="left" vertical="top" textRotation="0" wrapText="true" indent="0" shrinkToFit="false"/>
      <protection locked="true" hidden="false"/>
    </xf>
    <xf numFmtId="164" fontId="6" fillId="3" borderId="6" xfId="0" applyFont="true" applyBorder="true" applyAlignment="true" applyProtection="true">
      <alignment horizontal="general" vertical="top" textRotation="0" wrapText="true" indent="0" shrinkToFit="false"/>
      <protection locked="false" hidden="false"/>
    </xf>
    <xf numFmtId="164" fontId="7" fillId="3" borderId="6" xfId="0" applyFont="true" applyBorder="true" applyAlignment="true" applyProtection="true">
      <alignment horizontal="center" vertical="center" textRotation="0" wrapText="true" indent="0" shrinkToFit="false"/>
      <protection locked="false" hidden="false"/>
    </xf>
    <xf numFmtId="166" fontId="6" fillId="3" borderId="6" xfId="0" applyFont="true" applyBorder="true" applyAlignment="true" applyProtection="true">
      <alignment horizontal="general" vertical="top" textRotation="0" wrapText="true" indent="0" shrinkToFit="false"/>
      <protection locked="false" hidden="false"/>
    </xf>
    <xf numFmtId="164" fontId="13" fillId="3" borderId="6" xfId="22" applyFont="true" applyBorder="true" applyAlignment="true" applyProtection="false">
      <alignment horizontal="left" vertical="top" textRotation="0" wrapText="true" indent="0" shrinkToFit="false"/>
      <protection locked="true" hidden="false"/>
    </xf>
    <xf numFmtId="164" fontId="7" fillId="3" borderId="6" xfId="22" applyFont="true" applyBorder="true" applyAlignment="true" applyProtection="false">
      <alignment horizontal="center" vertical="center" textRotation="0" wrapText="true" indent="0" shrinkToFit="false"/>
      <protection locked="true" hidden="false"/>
    </xf>
    <xf numFmtId="164" fontId="6" fillId="3" borderId="6" xfId="22" applyFont="true" applyBorder="true" applyAlignment="true" applyProtection="false">
      <alignment horizontal="general" vertical="top" textRotation="0" wrapText="true" indent="0" shrinkToFit="false"/>
      <protection locked="true" hidden="false"/>
    </xf>
    <xf numFmtId="166" fontId="6" fillId="3" borderId="6" xfId="0" applyFont="true" applyBorder="true" applyAlignment="true" applyProtection="false">
      <alignment horizontal="general" vertical="top" textRotation="0" wrapText="true" indent="0" shrinkToFit="false"/>
      <protection locked="true" hidden="false"/>
    </xf>
    <xf numFmtId="168" fontId="6" fillId="3" borderId="6"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3" borderId="8" xfId="20" applyFont="true" applyBorder="true" applyAlignment="true" applyProtection="false">
      <alignment horizontal="left" vertical="top" textRotation="0" wrapText="true" indent="0" shrinkToFit="false"/>
      <protection locked="true" hidden="false"/>
    </xf>
    <xf numFmtId="164" fontId="6" fillId="3" borderId="8" xfId="20" applyFont="true" applyBorder="true" applyAlignment="true" applyProtection="false">
      <alignment horizontal="general" vertical="top" textRotation="0" wrapText="true" indent="0" shrinkToFit="false"/>
      <protection locked="true" hidden="false"/>
    </xf>
    <xf numFmtId="167" fontId="6" fillId="3" borderId="6" xfId="20" applyFont="true" applyBorder="true" applyAlignment="true" applyProtection="false">
      <alignment horizontal="left" vertical="top" textRotation="0" wrapText="true" indent="0" shrinkToFit="false"/>
      <protection locked="true" hidden="false"/>
    </xf>
    <xf numFmtId="164" fontId="7" fillId="3" borderId="6" xfId="0" applyFont="true" applyBorder="true" applyAlignment="true" applyProtection="false">
      <alignment horizontal="center" vertical="top" textRotation="0" wrapText="true" indent="0" shrinkToFit="false"/>
      <protection locked="true" hidden="false"/>
    </xf>
    <xf numFmtId="165" fontId="7" fillId="4" borderId="6" xfId="0" applyFont="true" applyBorder="true" applyAlignment="true" applyProtection="false">
      <alignment horizontal="center" vertical="top" textRotation="0" wrapText="true" indent="0" shrinkToFit="false"/>
      <protection locked="true" hidden="false"/>
    </xf>
    <xf numFmtId="165" fontId="9" fillId="3" borderId="6" xfId="0" applyFont="true" applyBorder="true" applyAlignment="true" applyProtection="false">
      <alignment horizontal="center" vertical="top" textRotation="0" wrapText="false" indent="0" shrinkToFit="false"/>
      <protection locked="true" hidden="false"/>
    </xf>
    <xf numFmtId="165" fontId="7" fillId="3" borderId="6" xfId="0" applyFont="true" applyBorder="true" applyAlignment="true" applyProtection="false">
      <alignment horizontal="center" vertical="top" textRotation="0" wrapText="true" indent="0" shrinkToFit="false"/>
      <protection locked="true" hidden="false"/>
    </xf>
    <xf numFmtId="165" fontId="16" fillId="3" borderId="6" xfId="0" applyFont="true" applyBorder="true" applyAlignment="true" applyProtection="false">
      <alignment horizontal="center" vertical="center" textRotation="90" wrapText="false" indent="0" shrinkToFit="false"/>
      <protection locked="true" hidden="false"/>
    </xf>
    <xf numFmtId="164" fontId="6" fillId="3" borderId="6"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20" fillId="0" borderId="6" xfId="0" applyFont="true" applyBorder="true" applyAlignment="false" applyProtection="false">
      <alignment horizontal="general" vertical="bottom" textRotation="0" wrapText="false" indent="0" shrinkToFit="false"/>
      <protection locked="true" hidden="false"/>
    </xf>
    <xf numFmtId="164" fontId="20" fillId="0" borderId="6" xfId="0" applyFont="true" applyBorder="true" applyAlignment="true" applyProtection="false">
      <alignment horizontal="center" vertical="bottom" textRotation="0" wrapText="false" indent="0" shrinkToFit="false"/>
      <protection locked="true" hidden="false"/>
    </xf>
    <xf numFmtId="164" fontId="20" fillId="0" borderId="6" xfId="0" applyFont="true" applyBorder="true" applyAlignment="true" applyProtection="false">
      <alignment horizontal="center" vertical="center" textRotation="90" wrapText="false" indent="0" shrinkToFit="false"/>
      <protection locked="true" hidden="false"/>
    </xf>
    <xf numFmtId="164" fontId="20" fillId="0" borderId="6" xfId="0" applyFont="true" applyBorder="true" applyAlignment="true" applyProtection="false">
      <alignment horizontal="center" vertical="bottom" textRotation="90" wrapText="false" indent="0" shrinkToFit="false"/>
      <protection locked="true" hidden="false"/>
    </xf>
    <xf numFmtId="164" fontId="21" fillId="2" borderId="8" xfId="0" applyFont="true" applyBorder="true" applyAlignment="true" applyProtection="false">
      <alignment horizontal="general" vertical="center" textRotation="0" wrapText="true" indent="0" shrinkToFit="false"/>
      <protection locked="true" hidden="false"/>
    </xf>
    <xf numFmtId="164" fontId="21" fillId="2" borderId="6" xfId="0" applyFont="true" applyBorder="true" applyAlignment="true" applyProtection="false">
      <alignment horizontal="center" vertical="center" textRotation="0" wrapText="true" indent="0" shrinkToFit="false"/>
      <protection locked="true" hidden="false"/>
    </xf>
    <xf numFmtId="164" fontId="21" fillId="2" borderId="6" xfId="0" applyFont="true" applyBorder="true" applyAlignment="true" applyProtection="false">
      <alignment horizontal="general" vertical="center" textRotation="0" wrapText="true" indent="0" shrinkToFit="false"/>
      <protection locked="true" hidden="false"/>
    </xf>
    <xf numFmtId="164" fontId="21" fillId="2" borderId="6" xfId="20" applyFont="true" applyBorder="true" applyAlignment="true" applyProtection="false">
      <alignment horizontal="left" vertical="center" textRotation="0" wrapText="false" indent="0" shrinkToFit="false"/>
      <protection locked="true" hidden="false"/>
    </xf>
    <xf numFmtId="164" fontId="21" fillId="2" borderId="6" xfId="20" applyFont="true" applyBorder="true" applyAlignment="true" applyProtection="false">
      <alignment horizontal="center" vertical="center" textRotation="90" wrapText="true" indent="0" shrinkToFit="false"/>
      <protection locked="true" hidden="false"/>
    </xf>
    <xf numFmtId="164" fontId="21" fillId="2" borderId="6" xfId="0" applyFont="true" applyBorder="true" applyAlignment="true" applyProtection="false">
      <alignment horizontal="center" vertical="center" textRotation="90" wrapText="true" indent="0" shrinkToFit="false"/>
      <protection locked="true" hidden="false"/>
    </xf>
    <xf numFmtId="164" fontId="20" fillId="0" borderId="6" xfId="0" applyFont="true" applyBorder="true" applyAlignment="true" applyProtection="false">
      <alignment horizontal="general" vertical="center" textRotation="0" wrapText="false" indent="0" shrinkToFit="false"/>
      <protection locked="true" hidden="false"/>
    </xf>
    <xf numFmtId="164" fontId="20" fillId="0" borderId="6" xfId="0" applyFont="true" applyBorder="true" applyAlignment="true" applyProtection="false">
      <alignment horizontal="left" vertical="top" textRotation="0" wrapText="true" indent="0" shrinkToFit="false"/>
      <protection locked="true" hidden="false"/>
    </xf>
    <xf numFmtId="164" fontId="20" fillId="0" borderId="9" xfId="0" applyFont="true" applyBorder="true" applyAlignment="true" applyProtection="false">
      <alignment horizontal="left" vertical="top" textRotation="0" wrapText="false" indent="0" shrinkToFit="false"/>
      <protection locked="true" hidden="false"/>
    </xf>
    <xf numFmtId="164" fontId="20" fillId="0" borderId="6" xfId="0" applyFont="true" applyBorder="true" applyAlignment="true" applyProtection="false">
      <alignment horizontal="left" vertical="top" textRotation="0" wrapText="false" indent="0" shrinkToFit="false"/>
      <protection locked="true" hidden="false"/>
    </xf>
    <xf numFmtId="164" fontId="21" fillId="3" borderId="6" xfId="0" applyFont="true" applyBorder="true" applyAlignment="true" applyProtection="false">
      <alignment horizontal="center" vertical="center" textRotation="0" wrapText="true" indent="0" shrinkToFit="false"/>
      <protection locked="true" hidden="false"/>
    </xf>
    <xf numFmtId="165" fontId="21" fillId="3" borderId="6" xfId="0" applyFont="true" applyBorder="true" applyAlignment="true" applyProtection="false">
      <alignment horizontal="center" vertical="center" textRotation="0" wrapText="true" indent="0" shrinkToFit="false"/>
      <protection locked="true" hidden="false"/>
    </xf>
    <xf numFmtId="164" fontId="21" fillId="3" borderId="6" xfId="0" applyFont="true" applyBorder="true" applyAlignment="true" applyProtection="false">
      <alignment horizontal="center" vertical="center" textRotation="90" wrapText="true" indent="0" shrinkToFit="false"/>
      <protection locked="true" hidden="false"/>
    </xf>
    <xf numFmtId="165" fontId="21" fillId="3" borderId="6" xfId="0" applyFont="true" applyBorder="true" applyAlignment="true" applyProtection="false">
      <alignment horizontal="center" vertical="center" textRotation="0" wrapText="false" indent="0" shrinkToFit="false"/>
      <protection locked="true" hidden="false"/>
    </xf>
    <xf numFmtId="165" fontId="22" fillId="3" borderId="6" xfId="0" applyFont="true" applyBorder="true" applyAlignment="true" applyProtection="false">
      <alignment horizontal="center" vertical="center" textRotation="90" wrapText="false" indent="0" shrinkToFit="false"/>
      <protection locked="true" hidden="false"/>
    </xf>
    <xf numFmtId="164" fontId="20" fillId="0" borderId="6" xfId="0" applyFont="true" applyBorder="true" applyAlignment="true" applyProtection="false">
      <alignment horizontal="left" vertical="center" textRotation="0" wrapText="false" indent="0" shrinkToFit="false"/>
      <protection locked="true" hidden="false"/>
    </xf>
    <xf numFmtId="164" fontId="4" fillId="0" borderId="0" xfId="23" applyFont="true" applyBorder="false" applyAlignment="false" applyProtection="false">
      <alignment horizontal="general" vertical="bottom" textRotation="0" wrapText="false" indent="0" shrinkToFit="false"/>
      <protection locked="true" hidden="false"/>
    </xf>
    <xf numFmtId="164" fontId="4" fillId="0" borderId="0" xfId="23" applyFont="true" applyBorder="false" applyAlignment="true" applyProtection="false">
      <alignment horizontal="general" vertical="center" textRotation="0" wrapText="false" indent="0" shrinkToFit="false"/>
      <protection locked="true" hidden="false"/>
    </xf>
    <xf numFmtId="164" fontId="9" fillId="2" borderId="6" xfId="23" applyFont="true" applyBorder="true" applyAlignment="true" applyProtection="false">
      <alignment horizontal="general" vertical="center" textRotation="0" wrapText="true" indent="0" shrinkToFit="false"/>
      <protection locked="true" hidden="false"/>
    </xf>
    <xf numFmtId="164" fontId="9" fillId="2" borderId="8" xfId="2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6" fillId="0" borderId="6" xfId="0" applyFont="true" applyBorder="true" applyAlignment="true" applyProtection="false">
      <alignment horizontal="left" vertical="center" textRotation="0" wrapText="true" indent="0" shrinkToFit="false"/>
      <protection locked="true" hidden="false"/>
    </xf>
    <xf numFmtId="164" fontId="4" fillId="3" borderId="6" xfId="0" applyFont="true" applyBorder="true" applyAlignment="true" applyProtection="false">
      <alignment horizontal="left" vertical="top" textRotation="0" wrapText="true" indent="0" shrinkToFit="false"/>
      <protection locked="true" hidden="false"/>
    </xf>
    <xf numFmtId="164" fontId="4" fillId="0" borderId="6" xfId="23" applyFont="true" applyBorder="true" applyAlignment="true" applyProtection="false">
      <alignment horizontal="left" vertical="top" textRotation="0" wrapText="true" indent="0" shrinkToFit="false"/>
      <protection locked="true" hidden="false"/>
    </xf>
    <xf numFmtId="164" fontId="6" fillId="5" borderId="6" xfId="0" applyFont="true" applyBorder="true" applyAlignment="true" applyProtection="false">
      <alignment horizontal="center" vertical="top" textRotation="0" wrapText="true" indent="0" shrinkToFit="false"/>
      <protection locked="true" hidden="false"/>
    </xf>
    <xf numFmtId="164" fontId="6" fillId="6" borderId="6" xfId="0" applyFont="true" applyBorder="true" applyAlignment="true" applyProtection="false">
      <alignment horizontal="center" vertical="top" textRotation="0" wrapText="true" indent="0" shrinkToFit="false"/>
      <protection locked="true" hidden="false"/>
    </xf>
    <xf numFmtId="164" fontId="6" fillId="0" borderId="6" xfId="23" applyFont="true" applyBorder="true" applyAlignment="true" applyProtection="false">
      <alignment horizontal="general" vertical="top" textRotation="0" wrapText="true" indent="0" shrinkToFit="false"/>
      <protection locked="true" hidden="false"/>
    </xf>
    <xf numFmtId="164" fontId="13" fillId="3" borderId="6" xfId="0" applyFont="true" applyBorder="true" applyAlignment="true" applyProtection="false">
      <alignment horizontal="general" vertical="center" textRotation="0" wrapText="true" indent="0" shrinkToFit="false"/>
      <protection locked="true" hidden="false"/>
    </xf>
    <xf numFmtId="164" fontId="6" fillId="3" borderId="9" xfId="0" applyFont="true" applyBorder="true" applyAlignment="true" applyProtection="false">
      <alignment horizontal="left" vertical="top" textRotation="0" wrapText="true" indent="0" shrinkToFit="false"/>
      <protection locked="true" hidden="false"/>
    </xf>
    <xf numFmtId="164" fontId="13" fillId="3" borderId="6" xfId="0" applyFont="true" applyBorder="true" applyAlignment="true" applyProtection="false">
      <alignment horizontal="left" vertical="top" textRotation="0" wrapText="true" indent="0" shrinkToFit="false"/>
      <protection locked="true" hidden="false"/>
    </xf>
    <xf numFmtId="164" fontId="6" fillId="6" borderId="8" xfId="0" applyFont="true" applyBorder="true" applyAlignment="true" applyProtection="false">
      <alignment horizontal="center" vertical="top" textRotation="0" wrapText="true" indent="0" shrinkToFit="false"/>
      <protection locked="true" hidden="false"/>
    </xf>
    <xf numFmtId="164" fontId="6" fillId="3" borderId="9" xfId="0" applyFont="true" applyBorder="true" applyAlignment="true" applyProtection="false">
      <alignment horizontal="general" vertical="top" textRotation="0" wrapText="true" indent="0" shrinkToFit="false"/>
      <protection locked="true" hidden="false"/>
    </xf>
    <xf numFmtId="164" fontId="6" fillId="0" borderId="9" xfId="0" applyFont="true" applyBorder="true" applyAlignment="true" applyProtection="false">
      <alignment horizontal="left" vertical="top" textRotation="0" wrapText="true" indent="0" shrinkToFit="false"/>
      <protection locked="true" hidden="false"/>
    </xf>
    <xf numFmtId="164" fontId="6" fillId="3" borderId="10" xfId="0" applyFont="true" applyBorder="true" applyAlignment="true" applyProtection="false">
      <alignment horizontal="general" vertical="top" textRotation="0" wrapText="true" indent="0" shrinkToFit="false"/>
      <protection locked="true" hidden="false"/>
    </xf>
    <xf numFmtId="164" fontId="4" fillId="0" borderId="6" xfId="23" applyFont="true" applyBorder="true" applyAlignment="true" applyProtection="false">
      <alignment horizontal="left" vertical="top" textRotation="0" wrapText="false" indent="0" shrinkToFit="false"/>
      <protection locked="true" hidden="false"/>
    </xf>
    <xf numFmtId="165" fontId="6" fillId="5" borderId="6" xfId="0" applyFont="true" applyBorder="true" applyAlignment="true" applyProtection="false">
      <alignment horizontal="center"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13" fillId="0" borderId="6" xfId="20" applyFont="true" applyBorder="true" applyAlignment="true" applyProtection="false">
      <alignment horizontal="left" vertical="top" textRotation="0" wrapText="true" indent="0" shrinkToFit="false"/>
      <protection locked="true" hidden="false"/>
    </xf>
    <xf numFmtId="164" fontId="6" fillId="0" borderId="6" xfId="20" applyFont="true" applyBorder="true" applyAlignment="true" applyProtection="false">
      <alignment horizontal="left" vertical="top" textRotation="0" wrapText="true" indent="0" shrinkToFit="false"/>
      <protection locked="true" hidden="false"/>
    </xf>
    <xf numFmtId="165" fontId="6" fillId="7" borderId="6" xfId="0" applyFont="true" applyBorder="true" applyAlignment="true" applyProtection="false">
      <alignment horizontal="center" vertical="top" textRotation="0" wrapText="true" indent="0" shrinkToFit="false"/>
      <protection locked="true" hidden="false"/>
    </xf>
    <xf numFmtId="164" fontId="14" fillId="3" borderId="6" xfId="0" applyFont="true" applyBorder="true" applyAlignment="true" applyProtection="false">
      <alignment horizontal="left" vertical="top" textRotation="0" wrapText="true" indent="0" shrinkToFit="false"/>
      <protection locked="true" hidden="false"/>
    </xf>
    <xf numFmtId="164" fontId="6" fillId="3" borderId="11" xfId="0" applyFont="true" applyBorder="true" applyAlignment="true" applyProtection="false">
      <alignment horizontal="general" vertical="top" textRotation="0" wrapText="true" indent="0" shrinkToFit="false"/>
      <protection locked="true" hidden="false"/>
    </xf>
    <xf numFmtId="164" fontId="6" fillId="3" borderId="6" xfId="0" applyFont="true" applyBorder="true" applyAlignment="true" applyProtection="false">
      <alignment horizontal="center" vertical="center" textRotation="0" wrapText="true" indent="0" shrinkToFit="false"/>
      <protection locked="true" hidden="false"/>
    </xf>
    <xf numFmtId="164" fontId="6" fillId="5" borderId="8" xfId="0" applyFont="true" applyBorder="true" applyAlignment="true" applyProtection="false">
      <alignment horizontal="center" vertical="top" textRotation="0" wrapText="true" indent="0" shrinkToFit="false"/>
      <protection locked="true" hidden="false"/>
    </xf>
    <xf numFmtId="164" fontId="6" fillId="3" borderId="5" xfId="0" applyFont="true" applyBorder="true" applyAlignment="true" applyProtection="false">
      <alignment horizontal="general" vertical="top" textRotation="0" wrapText="true" indent="0" shrinkToFit="false"/>
      <protection locked="true" hidden="false"/>
    </xf>
    <xf numFmtId="164" fontId="6" fillId="3" borderId="6" xfId="0" applyFont="true" applyBorder="true" applyAlignment="true" applyProtection="false">
      <alignment horizontal="center" vertical="top" textRotation="0" wrapText="true" indent="0" shrinkToFit="false"/>
      <protection locked="true" hidden="false"/>
    </xf>
    <xf numFmtId="165" fontId="6" fillId="4" borderId="6" xfId="0" applyFont="true" applyBorder="true" applyAlignment="true" applyProtection="false">
      <alignment horizontal="center" vertical="top" textRotation="0" wrapText="true" indent="0" shrinkToFit="false"/>
      <protection locked="true" hidden="false"/>
    </xf>
    <xf numFmtId="164" fontId="6" fillId="3" borderId="8" xfId="0" applyFont="true" applyBorder="true" applyAlignment="true" applyProtection="false">
      <alignment horizontal="general" vertical="top" textRotation="0" wrapText="true" indent="0" shrinkToFit="false"/>
      <protection locked="true" hidden="false"/>
    </xf>
    <xf numFmtId="164" fontId="6" fillId="3" borderId="8" xfId="0" applyFont="true" applyBorder="true" applyAlignment="true" applyProtection="false">
      <alignment horizontal="left" vertical="center" textRotation="0" wrapText="true" indent="0" shrinkToFit="false"/>
      <protection locked="true" hidden="false"/>
    </xf>
    <xf numFmtId="164" fontId="6" fillId="3" borderId="11" xfId="0" applyFont="true" applyBorder="true" applyAlignment="true" applyProtection="false">
      <alignment horizontal="left" vertical="top" textRotation="0" wrapText="true" indent="0" shrinkToFit="false"/>
      <protection locked="true" hidden="false"/>
    </xf>
    <xf numFmtId="164" fontId="6" fillId="3" borderId="12" xfId="0" applyFont="true" applyBorder="true" applyAlignment="true" applyProtection="false">
      <alignment horizontal="left" vertical="top" textRotation="0" wrapText="true" indent="0" shrinkToFit="false"/>
      <protection locked="true" hidden="false"/>
    </xf>
    <xf numFmtId="164" fontId="6" fillId="3" borderId="13" xfId="0" applyFont="true" applyBorder="true" applyAlignment="true" applyProtection="false">
      <alignment horizontal="left" vertical="top" textRotation="0" wrapText="true" indent="0" shrinkToFit="false"/>
      <protection locked="true" hidden="false"/>
    </xf>
    <xf numFmtId="164" fontId="4" fillId="0" borderId="11" xfId="23" applyFont="true" applyBorder="true" applyAlignment="true" applyProtection="false">
      <alignment horizontal="left" vertical="top" textRotation="0" wrapText="true" indent="0" shrinkToFit="false"/>
      <protection locked="true" hidden="false"/>
    </xf>
    <xf numFmtId="164" fontId="6" fillId="0" borderId="6" xfId="23"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10" xfId="23" applyFont="true" applyBorder="true" applyAlignment="true" applyProtection="false">
      <alignment horizontal="general" vertical="top" textRotation="0" wrapText="true" indent="0" shrinkToFit="false"/>
      <protection locked="true" hidden="false"/>
    </xf>
    <xf numFmtId="164" fontId="6" fillId="0" borderId="8" xfId="23" applyFont="true" applyBorder="true" applyAlignment="true" applyProtection="false">
      <alignment horizontal="general" vertical="top" textRotation="0" wrapText="false" indent="0" shrinkToFit="false"/>
      <protection locked="true" hidden="false"/>
    </xf>
    <xf numFmtId="164" fontId="6" fillId="3" borderId="5" xfId="0" applyFont="true" applyBorder="true" applyAlignment="true" applyProtection="false">
      <alignment horizontal="left" vertical="top" textRotation="0" wrapText="true" indent="0" shrinkToFit="false"/>
      <protection locked="true" hidden="false"/>
    </xf>
    <xf numFmtId="164" fontId="6" fillId="3" borderId="14" xfId="0" applyFont="true" applyBorder="true" applyAlignment="true" applyProtection="false">
      <alignment horizontal="general" vertical="top" textRotation="0" wrapText="true" indent="0" shrinkToFit="false"/>
      <protection locked="true" hidden="false"/>
    </xf>
    <xf numFmtId="164" fontId="13" fillId="3" borderId="5" xfId="0" applyFont="true" applyBorder="true" applyAlignment="true" applyProtection="false">
      <alignment horizontal="general" vertical="top" textRotation="0" wrapText="true" indent="0" shrinkToFit="false"/>
      <protection locked="true" hidden="false"/>
    </xf>
    <xf numFmtId="164" fontId="6" fillId="3" borderId="8" xfId="0" applyFont="true" applyBorder="true" applyAlignment="true" applyProtection="false">
      <alignment horizontal="left" vertical="top" textRotation="0" wrapText="true" indent="0" shrinkToFit="false"/>
      <protection locked="true" hidden="false"/>
    </xf>
    <xf numFmtId="164" fontId="13" fillId="3" borderId="7" xfId="0" applyFont="true" applyBorder="true" applyAlignment="true" applyProtection="false">
      <alignment horizontal="left" vertical="top" textRotation="0" wrapText="true" indent="0" shrinkToFit="false"/>
      <protection locked="true" hidden="false"/>
    </xf>
    <xf numFmtId="168" fontId="13" fillId="3" borderId="7" xfId="0" applyFont="true" applyBorder="true" applyAlignment="true" applyProtection="false">
      <alignment horizontal="left" vertical="top" textRotation="0" wrapText="true" indent="0" shrinkToFit="false"/>
      <protection locked="true" hidden="false"/>
    </xf>
    <xf numFmtId="164" fontId="13" fillId="3" borderId="15" xfId="0" applyFont="true" applyBorder="true" applyAlignment="true" applyProtection="false">
      <alignment horizontal="general" vertical="top" textRotation="0" wrapText="true" indent="0" shrinkToFit="false"/>
      <protection locked="true" hidden="false"/>
    </xf>
    <xf numFmtId="166" fontId="6" fillId="0" borderId="9" xfId="0" applyFont="true" applyBorder="true" applyAlignment="true" applyProtection="false">
      <alignment horizontal="left" vertical="top" textRotation="0" wrapText="true" indent="0" shrinkToFit="false"/>
      <protection locked="true" hidden="false"/>
    </xf>
    <xf numFmtId="164" fontId="13" fillId="0" borderId="6" xfId="0" applyFont="true" applyBorder="true" applyAlignment="true" applyProtection="false">
      <alignment horizontal="left" vertical="top" textRotation="0" wrapText="true" indent="0" shrinkToFit="false"/>
      <protection locked="true" hidden="false"/>
    </xf>
    <xf numFmtId="166" fontId="6" fillId="3" borderId="9" xfId="0" applyFont="true" applyBorder="true" applyAlignment="true" applyProtection="false">
      <alignment horizontal="left" vertical="top" textRotation="0" wrapText="true" indent="0" shrinkToFit="false"/>
      <protection locked="true" hidden="false"/>
    </xf>
    <xf numFmtId="164" fontId="6" fillId="3" borderId="6" xfId="22" applyFont="true" applyBorder="true" applyAlignment="true" applyProtection="false">
      <alignment horizontal="left" vertical="top" textRotation="0" wrapText="true" indent="0" shrinkToFit="false"/>
      <protection locked="true" hidden="false"/>
    </xf>
    <xf numFmtId="168" fontId="6" fillId="3" borderId="6" xfId="0" applyFont="true" applyBorder="true" applyAlignment="true" applyProtection="false">
      <alignment horizontal="left" vertical="top" textRotation="0" wrapText="true" indent="0" shrinkToFit="false"/>
      <protection locked="true" hidden="false"/>
    </xf>
    <xf numFmtId="164" fontId="6" fillId="0" borderId="6" xfId="23" applyFont="true" applyBorder="true" applyAlignment="true" applyProtection="false">
      <alignment horizontal="center" vertical="top" textRotation="0" wrapText="true" indent="0" shrinkToFit="false"/>
      <protection locked="true" hidden="false"/>
    </xf>
    <xf numFmtId="169" fontId="4" fillId="0" borderId="0" xfId="19" applyFont="true" applyBorder="true" applyAlignment="true" applyProtection="true">
      <alignment horizontal="general" vertical="bottom" textRotation="0" wrapText="false" indent="0" shrinkToFit="false"/>
      <protection locked="true" hidden="false"/>
    </xf>
    <xf numFmtId="164" fontId="26" fillId="3" borderId="6" xfId="21" applyFont="true" applyBorder="true" applyAlignment="true" applyProtection="false">
      <alignment horizontal="left" vertical="top" textRotation="0" wrapText="true" indent="0" shrinkToFit="false"/>
      <protection locked="true" hidden="false"/>
    </xf>
    <xf numFmtId="164" fontId="26" fillId="0" borderId="6" xfId="0" applyFont="true" applyBorder="true" applyAlignment="true" applyProtection="false">
      <alignment horizontal="general" vertical="top" textRotation="0" wrapText="true" indent="0" shrinkToFit="false"/>
      <protection locked="true" hidden="false"/>
    </xf>
    <xf numFmtId="164" fontId="13" fillId="0" borderId="6" xfId="0" applyFont="true" applyBorder="true" applyAlignment="true" applyProtection="false">
      <alignment horizontal="general" vertical="top" textRotation="0" wrapText="true" indent="0" shrinkToFit="false"/>
      <protection locked="true" hidden="false"/>
    </xf>
    <xf numFmtId="164" fontId="13" fillId="3" borderId="6" xfId="21" applyFont="true" applyBorder="true" applyAlignment="true" applyProtection="false">
      <alignment horizontal="left" vertical="top" textRotation="0" wrapText="true" indent="0" shrinkToFit="false"/>
      <protection locked="true" hidden="false"/>
    </xf>
    <xf numFmtId="164" fontId="6" fillId="3" borderId="6" xfId="21" applyFont="true" applyBorder="true" applyAlignment="true" applyProtection="false">
      <alignment horizontal="left" vertical="top" textRotation="0" wrapText="true" indent="0" shrinkToFit="false"/>
      <protection locked="true" hidden="false"/>
    </xf>
    <xf numFmtId="164" fontId="6" fillId="5" borderId="5" xfId="0" applyFont="true" applyBorder="true" applyAlignment="true" applyProtection="false">
      <alignment horizontal="center" vertical="top" textRotation="0" wrapText="true" indent="0" shrinkToFit="false"/>
      <protection locked="true" hidden="false"/>
    </xf>
    <xf numFmtId="164" fontId="14" fillId="3" borderId="6" xfId="21" applyFont="true" applyBorder="true" applyAlignment="true" applyProtection="false">
      <alignment horizontal="left" vertical="top" textRotation="0" wrapText="true" indent="0" shrinkToFit="false"/>
      <protection locked="true" hidden="false"/>
    </xf>
    <xf numFmtId="164" fontId="6" fillId="3" borderId="6" xfId="20" applyFont="true" applyBorder="true" applyAlignment="true" applyProtection="false">
      <alignment horizontal="general" vertical="top" textRotation="0" wrapText="true" indent="0" shrinkToFit="false"/>
      <protection locked="true" hidden="false"/>
    </xf>
    <xf numFmtId="164" fontId="6" fillId="3" borderId="6" xfId="20" applyFont="true" applyBorder="true" applyAlignment="true" applyProtection="false">
      <alignment horizontal="left" vertical="center" textRotation="0" wrapText="true" indent="0" shrinkToFit="false"/>
      <protection locked="true" hidden="false"/>
    </xf>
    <xf numFmtId="168" fontId="6" fillId="3" borderId="6" xfId="20" applyFont="true" applyBorder="true" applyAlignment="true" applyProtection="false">
      <alignment horizontal="left" vertical="top" textRotation="0" wrapText="true" indent="0" shrinkToFit="false"/>
      <protection locked="true" hidden="false"/>
    </xf>
    <xf numFmtId="164" fontId="13" fillId="3" borderId="6" xfId="20" applyFont="true" applyBorder="true" applyAlignment="true" applyProtection="false">
      <alignment horizontal="left" vertical="top" textRotation="0" wrapText="true" indent="0" shrinkToFit="false"/>
      <protection locked="true" hidden="false"/>
    </xf>
    <xf numFmtId="165" fontId="6" fillId="7" borderId="6" xfId="20" applyFont="true" applyBorder="true" applyAlignment="true" applyProtection="false">
      <alignment horizontal="center" vertical="top" textRotation="0" wrapText="true" indent="0" shrinkToFit="false"/>
      <protection locked="true" hidden="false"/>
    </xf>
    <xf numFmtId="164" fontId="6" fillId="3" borderId="0" xfId="20" applyFont="true" applyBorder="false" applyAlignment="true" applyProtection="false">
      <alignment horizontal="general" vertical="top" textRotation="0" wrapText="true" indent="0" shrinkToFit="false"/>
      <protection locked="true" hidden="false"/>
    </xf>
    <xf numFmtId="164" fontId="13" fillId="0" borderId="9" xfId="0" applyFont="true" applyBorder="true" applyAlignment="true" applyProtection="false">
      <alignment horizontal="left" vertical="top" textRotation="0" wrapText="true" indent="0" shrinkToFit="false"/>
      <protection locked="true" hidden="false"/>
    </xf>
    <xf numFmtId="164" fontId="13" fillId="3" borderId="9"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6" fillId="0" borderId="6" xfId="23" applyFont="true" applyBorder="true" applyAlignment="true" applyProtection="false">
      <alignment horizontal="center" vertical="top" textRotation="0" wrapText="false" indent="0" shrinkToFit="false"/>
      <protection locked="true" hidden="false"/>
    </xf>
    <xf numFmtId="164" fontId="13" fillId="3" borderId="6" xfId="0" applyFont="true" applyBorder="true" applyAlignment="true" applyProtection="false">
      <alignment horizontal="left" vertical="top" textRotation="0" wrapText="false" indent="0" shrinkToFit="false"/>
      <protection locked="true" hidden="false"/>
    </xf>
    <xf numFmtId="164" fontId="20" fillId="0" borderId="6" xfId="0" applyFont="true" applyBorder="true" applyAlignment="true" applyProtection="false">
      <alignment horizontal="general" vertical="bottom" textRotation="0" wrapText="true" indent="0" shrinkToFit="false"/>
      <protection locked="true" hidden="false"/>
    </xf>
    <xf numFmtId="164" fontId="20" fillId="0" borderId="6" xfId="0" applyFont="true" applyBorder="true" applyAlignment="true" applyProtection="false">
      <alignment horizontal="general" vertical="top" textRotation="0" wrapText="true" indent="0" shrinkToFit="false"/>
      <protection locked="true" hidden="false"/>
    </xf>
    <xf numFmtId="164" fontId="20" fillId="0" borderId="6" xfId="0" applyFont="true" applyBorder="true" applyAlignment="true" applyProtection="false">
      <alignment horizontal="center" vertical="top" textRotation="0" wrapText="true" indent="0" shrinkToFit="false"/>
      <protection locked="true" hidden="false"/>
    </xf>
    <xf numFmtId="164" fontId="27" fillId="3" borderId="6" xfId="0" applyFont="true" applyBorder="true" applyAlignment="true" applyProtection="false">
      <alignment horizontal="left" vertical="top" textRotation="0" wrapText="true" indent="0" shrinkToFit="false"/>
      <protection locked="true" hidden="false"/>
    </xf>
    <xf numFmtId="164" fontId="21" fillId="0" borderId="6" xfId="0" applyFont="true" applyBorder="true" applyAlignment="true" applyProtection="false">
      <alignment horizontal="center" vertical="center" textRotation="0" wrapText="true" indent="0" shrinkToFit="false"/>
      <protection locked="true" hidden="false"/>
    </xf>
    <xf numFmtId="165" fontId="21" fillId="4" borderId="6" xfId="0" applyFont="true" applyBorder="true" applyAlignment="true" applyProtection="false">
      <alignment horizontal="center" vertical="center" textRotation="0" wrapText="true" indent="0" shrinkToFit="false"/>
      <protection locked="true" hidden="false"/>
    </xf>
    <xf numFmtId="164" fontId="21" fillId="0" borderId="6" xfId="0" applyFont="true" applyBorder="true" applyAlignment="true" applyProtection="false">
      <alignment horizontal="center" vertical="center" textRotation="90" wrapText="true" indent="0" shrinkToFit="false"/>
      <protection locked="true" hidden="false"/>
    </xf>
    <xf numFmtId="165" fontId="22" fillId="0" borderId="6" xfId="0" applyFont="true" applyBorder="true" applyAlignment="true" applyProtection="false">
      <alignment horizontal="center" vertical="center" textRotation="90" wrapText="false" indent="0" shrinkToFit="false"/>
      <protection locked="true" hidden="false"/>
    </xf>
    <xf numFmtId="170" fontId="20" fillId="0" borderId="6" xfId="0" applyFont="true" applyBorder="true" applyAlignment="true" applyProtection="false">
      <alignment horizontal="general" vertical="top" textRotation="0" wrapText="true" indent="0" shrinkToFit="false"/>
      <protection locked="true" hidden="false"/>
    </xf>
    <xf numFmtId="164" fontId="27" fillId="0" borderId="6" xfId="0" applyFont="true" applyBorder="true" applyAlignment="true" applyProtection="false">
      <alignment horizontal="general" vertical="top" textRotation="0" wrapText="true" indent="0" shrinkToFit="false"/>
      <protection locked="true" hidden="false"/>
    </xf>
    <xf numFmtId="164" fontId="20" fillId="3" borderId="6" xfId="0" applyFont="true" applyBorder="true" applyAlignment="true" applyProtection="false">
      <alignment horizontal="general" vertical="top" textRotation="0" wrapText="true" indent="0" shrinkToFit="false"/>
      <protection locked="true" hidden="false"/>
    </xf>
    <xf numFmtId="164" fontId="27" fillId="0" borderId="6" xfId="0" applyFont="true" applyBorder="true" applyAlignment="true" applyProtection="false">
      <alignment horizontal="left" vertical="top" textRotation="0" wrapText="true" indent="0" shrinkToFit="false"/>
      <protection locked="true" hidden="false"/>
    </xf>
    <xf numFmtId="164" fontId="28" fillId="0" borderId="6" xfId="0" applyFont="true" applyBorder="true" applyAlignment="true" applyProtection="false">
      <alignment horizontal="left" vertical="top" textRotation="0" wrapText="true" indent="0" shrinkToFit="false"/>
      <protection locked="true" hidden="false"/>
    </xf>
    <xf numFmtId="164" fontId="20" fillId="0" borderId="6" xfId="0" applyFont="true" applyBorder="true" applyAlignment="true" applyProtection="false">
      <alignment horizontal="general" vertical="center" textRotation="0" wrapText="true" indent="0" shrinkToFit="false"/>
      <protection locked="true" hidden="false"/>
    </xf>
    <xf numFmtId="164" fontId="20" fillId="0" borderId="5" xfId="0" applyFont="true" applyBorder="true" applyAlignment="true" applyProtection="false">
      <alignment horizontal="center" vertical="top" textRotation="0" wrapText="false" indent="0" shrinkToFit="false"/>
      <protection locked="true" hidden="false"/>
    </xf>
    <xf numFmtId="164" fontId="27" fillId="0" borderId="6" xfId="0" applyFont="true" applyBorder="true" applyAlignment="true" applyProtection="false">
      <alignment horizontal="general" vertical="center" textRotation="0" wrapText="true" indent="0" shrinkToFit="false"/>
      <protection locked="true" hidden="false"/>
    </xf>
    <xf numFmtId="164" fontId="20" fillId="0" borderId="8" xfId="0" applyFont="true" applyBorder="true" applyAlignment="true" applyProtection="false">
      <alignment horizontal="center" vertical="top" textRotation="0" wrapText="true" indent="0" shrinkToFit="false"/>
      <protection locked="true" hidden="false"/>
    </xf>
    <xf numFmtId="164" fontId="20" fillId="0" borderId="6" xfId="20" applyFont="true" applyBorder="true" applyAlignment="true" applyProtection="false">
      <alignment horizontal="left" vertical="top" textRotation="0" wrapText="true" indent="0" shrinkToFit="false"/>
      <protection locked="true" hidden="false"/>
    </xf>
    <xf numFmtId="168" fontId="20" fillId="0" borderId="6" xfId="0" applyFont="true" applyBorder="true" applyAlignment="true" applyProtection="false">
      <alignment horizontal="general" vertical="top" textRotation="0" wrapText="true" indent="0" shrinkToFit="false"/>
      <protection locked="true" hidden="false"/>
    </xf>
    <xf numFmtId="164" fontId="20" fillId="0" borderId="6" xfId="0" applyFont="true" applyBorder="true" applyAlignment="true" applyProtection="false">
      <alignment horizontal="center" vertical="top" textRotation="0" wrapText="false" indent="0" shrinkToFit="false"/>
      <protection locked="true" hidden="false"/>
    </xf>
    <xf numFmtId="164" fontId="20" fillId="0" borderId="6" xfId="0" applyFont="true" applyBorder="true" applyAlignment="true" applyProtection="false">
      <alignment horizontal="center" vertical="center" textRotation="0" wrapText="true" indent="0" shrinkToFit="false"/>
      <protection locked="true" hidden="false"/>
    </xf>
    <xf numFmtId="164" fontId="27" fillId="3" borderId="6" xfId="0" applyFont="true" applyBorder="true" applyAlignment="true" applyProtection="false">
      <alignment horizontal="left" vertical="center" textRotation="0" wrapText="true" indent="0" shrinkToFit="false"/>
      <protection locked="true" hidden="false"/>
    </xf>
    <xf numFmtId="164" fontId="20" fillId="3" borderId="6" xfId="0" applyFont="true" applyBorder="true" applyAlignment="true" applyProtection="false">
      <alignment horizontal="left" vertical="top" textRotation="0" wrapText="true" indent="0" shrinkToFit="false"/>
      <protection locked="true" hidden="false"/>
    </xf>
    <xf numFmtId="165" fontId="21" fillId="0" borderId="6" xfId="0" applyFont="true" applyBorder="true" applyAlignment="true" applyProtection="false">
      <alignment horizontal="center" vertical="center" textRotation="90" wrapText="false" indent="0" shrinkToFit="false"/>
      <protection locked="true" hidden="false"/>
    </xf>
    <xf numFmtId="164" fontId="20" fillId="0" borderId="6" xfId="0" applyFont="true" applyBorder="true" applyAlignment="true" applyProtection="false">
      <alignment horizontal="center" vertical="center" textRotation="0" wrapText="false" indent="0" shrinkToFit="false"/>
      <protection locked="true" hidden="false"/>
    </xf>
    <xf numFmtId="164" fontId="20" fillId="0" borderId="6" xfId="0" applyFont="true" applyBorder="true" applyAlignment="true" applyProtection="false">
      <alignment horizontal="general" vertical="top" textRotation="0" wrapText="false" indent="0" shrinkToFit="false"/>
      <protection locked="true" hidden="false"/>
    </xf>
    <xf numFmtId="164" fontId="20" fillId="3" borderId="8" xfId="0" applyFont="true" applyBorder="tru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justify" vertical="top" textRotation="0" wrapText="false" indent="0" shrinkToFit="false"/>
      <protection locked="true" hidden="false"/>
    </xf>
    <xf numFmtId="164" fontId="20" fillId="0" borderId="8" xfId="20" applyFont="true" applyBorder="true" applyAlignment="true" applyProtection="false">
      <alignment horizontal="left" vertical="top" textRotation="0" wrapText="true" indent="0" shrinkToFit="false"/>
      <protection locked="true" hidden="false"/>
    </xf>
    <xf numFmtId="164" fontId="20" fillId="0" borderId="6" xfId="0" applyFont="true" applyBorder="true" applyAlignment="true" applyProtection="false">
      <alignment horizontal="justify" vertical="top" textRotation="0" wrapText="false" indent="0" shrinkToFit="false"/>
      <protection locked="true" hidden="false"/>
    </xf>
    <xf numFmtId="164" fontId="20" fillId="0" borderId="8" xfId="0" applyFont="true" applyBorder="true" applyAlignment="true" applyProtection="false">
      <alignment horizontal="general" vertical="top" textRotation="0" wrapText="true" indent="0" shrinkToFit="false"/>
      <protection locked="true" hidden="false"/>
    </xf>
    <xf numFmtId="164" fontId="21" fillId="4" borderId="6" xfId="0" applyFont="true" applyBorder="true" applyAlignment="true" applyProtection="false">
      <alignment horizontal="center" vertical="center" textRotation="0" wrapText="true" indent="0" shrinkToFit="false"/>
      <protection locked="true" hidden="false"/>
    </xf>
    <xf numFmtId="164" fontId="20" fillId="3" borderId="6" xfId="0" applyFont="true" applyBorder="true" applyAlignment="true" applyProtection="false">
      <alignment horizontal="center" vertical="top" textRotation="0" wrapText="true" indent="0" shrinkToFit="false"/>
      <protection locked="true" hidden="false"/>
    </xf>
    <xf numFmtId="164" fontId="20" fillId="3" borderId="6" xfId="0" applyFont="true" applyBorder="true" applyAlignment="true" applyProtection="false">
      <alignment horizontal="left" vertical="top" textRotation="0" wrapText="false" indent="0" shrinkToFit="false"/>
      <protection locked="true" hidden="false"/>
    </xf>
    <xf numFmtId="164" fontId="27" fillId="3" borderId="6" xfId="0" applyFont="true" applyBorder="true" applyAlignment="true" applyProtection="false">
      <alignment horizontal="general" vertical="center" textRotation="0" wrapText="true" indent="0" shrinkToFit="false"/>
      <protection locked="true" hidden="false"/>
    </xf>
    <xf numFmtId="164" fontId="20" fillId="3" borderId="6" xfId="0" applyFont="true" applyBorder="true" applyAlignment="true" applyProtection="false">
      <alignment horizontal="general" vertical="bottom" textRotation="0" wrapText="true" indent="0" shrinkToFit="false"/>
      <protection locked="true" hidden="false"/>
    </xf>
    <xf numFmtId="164" fontId="20" fillId="3" borderId="6" xfId="0" applyFont="true" applyBorder="true" applyAlignment="true" applyProtection="false">
      <alignment horizontal="general" vertical="center" textRotation="0" wrapText="true" indent="0" shrinkToFit="false"/>
      <protection locked="true" hidden="false"/>
    </xf>
    <xf numFmtId="164" fontId="20" fillId="3" borderId="6" xfId="0" applyFont="true" applyBorder="true" applyAlignment="true" applyProtection="false">
      <alignment horizontal="left" vertical="center" textRotation="0" wrapText="true" indent="0" shrinkToFit="false"/>
      <protection locked="true" hidden="false"/>
    </xf>
    <xf numFmtId="164" fontId="27" fillId="3" borderId="6" xfId="0" applyFont="true" applyBorder="true" applyAlignment="true" applyProtection="false">
      <alignment horizontal="general" vertical="top" textRotation="0" wrapText="true" indent="0" shrinkToFit="false"/>
      <protection locked="true" hidden="false"/>
    </xf>
    <xf numFmtId="164" fontId="20" fillId="3" borderId="6" xfId="0" applyFont="true" applyBorder="true" applyAlignment="true" applyProtection="false">
      <alignment horizontal="center" vertical="top" textRotation="0" wrapText="false" indent="0" shrinkToFit="false"/>
      <protection locked="true" hidden="false"/>
    </xf>
    <xf numFmtId="164" fontId="14" fillId="3" borderId="6" xfId="0" applyFont="true" applyBorder="true" applyAlignment="true" applyProtection="false">
      <alignment horizontal="general" vertical="top" textRotation="0" wrapText="true" indent="0" shrinkToFit="false"/>
      <protection locked="true" hidden="false"/>
    </xf>
    <xf numFmtId="164" fontId="11" fillId="3" borderId="6"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7" fillId="3" borderId="8" xfId="0" applyFont="true" applyBorder="true" applyAlignment="true" applyProtection="false">
      <alignment horizontal="center" vertical="center" textRotation="0" wrapText="true" indent="0" shrinkToFit="false"/>
      <protection locked="true" hidden="false"/>
    </xf>
    <xf numFmtId="164" fontId="11" fillId="3" borderId="8" xfId="0" applyFont="true" applyBorder="true" applyAlignment="true" applyProtection="false">
      <alignment horizontal="center" vertical="center" textRotation="90" wrapText="false" indent="0" shrinkToFit="false"/>
      <protection locked="true" hidden="false"/>
    </xf>
    <xf numFmtId="164" fontId="6" fillId="3" borderId="16" xfId="0" applyFont="true" applyBorder="true" applyAlignment="true" applyProtection="false">
      <alignment horizontal="left" vertical="top" textRotation="0" wrapText="true" indent="0" shrinkToFit="false"/>
      <protection locked="true" hidden="false"/>
    </xf>
    <xf numFmtId="164" fontId="29" fillId="8" borderId="17" xfId="0" applyFont="true" applyBorder="true" applyAlignment="true" applyProtection="false">
      <alignment horizontal="justify" vertical="center" textRotation="0" wrapText="true" indent="0" shrinkToFit="false"/>
      <protection locked="true" hidden="false"/>
    </xf>
    <xf numFmtId="164" fontId="30" fillId="8" borderId="18" xfId="0" applyFont="true" applyBorder="true" applyAlignment="true" applyProtection="false">
      <alignment horizontal="justify" vertical="center" textRotation="0" wrapText="true" indent="0" shrinkToFit="false"/>
      <protection locked="true" hidden="false"/>
    </xf>
    <xf numFmtId="164" fontId="30" fillId="8" borderId="19" xfId="0" applyFont="true" applyBorder="true" applyAlignment="true" applyProtection="false">
      <alignment horizontal="justify" vertical="center" textRotation="0" wrapText="true" indent="0" shrinkToFit="false"/>
      <protection locked="true" hidden="false"/>
    </xf>
    <xf numFmtId="164" fontId="30" fillId="0" borderId="18" xfId="0" applyFont="true" applyBorder="true" applyAlignment="true" applyProtection="false">
      <alignment horizontal="justify" vertical="center" textRotation="0" wrapText="true" indent="0" shrinkToFit="false"/>
      <protection locked="true" hidden="false"/>
    </xf>
    <xf numFmtId="164" fontId="30" fillId="0" borderId="19" xfId="0" applyFont="true" applyBorder="true" applyAlignment="true" applyProtection="false">
      <alignment horizontal="justify"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30" fillId="0" borderId="17" xfId="0" applyFont="true" applyBorder="true" applyAlignment="true" applyProtection="false">
      <alignment horizontal="justify"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32" fillId="8" borderId="3" xfId="0" applyFont="true" applyBorder="true" applyAlignment="true" applyProtection="false">
      <alignment horizontal="general" vertical="top" textRotation="0" wrapText="true" indent="0" shrinkToFit="false"/>
      <protection locked="true" hidden="false"/>
    </xf>
    <xf numFmtId="164" fontId="32" fillId="8" borderId="20" xfId="0" applyFont="true" applyBorder="true" applyAlignment="true" applyProtection="false">
      <alignment horizontal="general" vertical="top" textRotation="0" wrapText="true" indent="0" shrinkToFit="false"/>
      <protection locked="true" hidden="false"/>
    </xf>
    <xf numFmtId="164" fontId="6" fillId="0" borderId="20" xfId="0" applyFont="true" applyBorder="true" applyAlignment="true" applyProtection="false">
      <alignment horizontal="general" vertical="top" textRotation="0" wrapText="true" indent="0" shrinkToFit="false"/>
      <protection locked="true" hidden="false"/>
    </xf>
    <xf numFmtId="164" fontId="6" fillId="0" borderId="21" xfId="0" applyFont="true" applyBorder="true" applyAlignment="true" applyProtection="false">
      <alignment horizontal="general" vertical="top" textRotation="0" wrapText="true" indent="0" shrinkToFit="false"/>
      <protection locked="true" hidden="false"/>
    </xf>
    <xf numFmtId="164" fontId="6" fillId="0" borderId="21" xfId="0" applyFont="true" applyBorder="true" applyAlignment="true" applyProtection="false">
      <alignment horizontal="left" vertical="top" textRotation="0" wrapText="true" indent="0" shrinkToFit="false"/>
      <protection locked="true" hidden="false"/>
    </xf>
    <xf numFmtId="164" fontId="6" fillId="0" borderId="19" xfId="0" applyFont="true" applyBorder="true" applyAlignment="true" applyProtection="false">
      <alignment horizontal="left" vertical="top" textRotation="0" wrapText="true" indent="0" shrinkToFit="false"/>
      <protection locked="true" hidden="false"/>
    </xf>
    <xf numFmtId="164" fontId="0" fillId="0" borderId="21" xfId="0" applyFont="false" applyBorder="true" applyAlignment="true" applyProtection="false">
      <alignment horizontal="left" vertical="top" textRotation="0" wrapText="true" indent="0" shrinkToFit="false"/>
      <protection locked="true" hidden="false"/>
    </xf>
    <xf numFmtId="164" fontId="6" fillId="0" borderId="17" xfId="0" applyFont="true" applyBorder="true" applyAlignment="true" applyProtection="false">
      <alignment horizontal="general" vertical="top" textRotation="0" wrapText="true" indent="0" shrinkToFit="false"/>
      <protection locked="true" hidden="false"/>
    </xf>
    <xf numFmtId="164" fontId="6" fillId="0" borderId="19" xfId="0" applyFont="true" applyBorder="true" applyAlignment="true" applyProtection="false">
      <alignment horizontal="general" vertical="top" textRotation="0" wrapText="true" indent="0" shrinkToFit="false"/>
      <protection locked="true" hidden="false"/>
    </xf>
    <xf numFmtId="164" fontId="7" fillId="8" borderId="0" xfId="0" applyFont="true" applyBorder="true" applyAlignment="true" applyProtection="false">
      <alignment horizontal="general" vertical="center" textRotation="0" wrapText="true" indent="0" shrinkToFit="false"/>
      <protection locked="true" hidden="false"/>
    </xf>
    <xf numFmtId="164" fontId="6" fillId="0" borderId="17" xfId="0" applyFont="true" applyBorder="true" applyAlignment="true" applyProtection="false">
      <alignment horizontal="general" vertical="center" textRotation="0" wrapText="true" indent="0" shrinkToFit="false"/>
      <protection locked="true" hidden="false"/>
    </xf>
    <xf numFmtId="164" fontId="6" fillId="0" borderId="21" xfId="0" applyFont="true" applyBorder="true" applyAlignment="true" applyProtection="false">
      <alignment horizontal="general" vertical="center" textRotation="0" wrapText="true" indent="0" shrinkToFit="false"/>
      <protection locked="true" hidden="false"/>
    </xf>
    <xf numFmtId="164" fontId="0" fillId="0" borderId="21" xfId="0" applyFont="false" applyBorder="true" applyAlignment="true" applyProtection="false">
      <alignment horizontal="left" vertical="center" textRotation="0" wrapText="true" indent="1" shrinkToFit="false"/>
      <protection locked="true" hidden="false"/>
    </xf>
    <xf numFmtId="164" fontId="6" fillId="0" borderId="21" xfId="0" applyFont="true" applyBorder="true" applyAlignment="true" applyProtection="false">
      <alignment horizontal="left" vertical="center" textRotation="0" wrapText="true" indent="1" shrinkToFit="false"/>
      <protection locked="true" hidden="false"/>
    </xf>
    <xf numFmtId="164" fontId="6" fillId="0" borderId="19" xfId="0" applyFont="true" applyBorder="true" applyAlignment="true" applyProtection="false">
      <alignment horizontal="left" vertical="center" textRotation="0" wrapText="true" indent="1" shrinkToFit="false"/>
      <protection locked="true" hidden="false"/>
    </xf>
    <xf numFmtId="164" fontId="6" fillId="0" borderId="18" xfId="0" applyFont="true" applyBorder="true" applyAlignment="true" applyProtection="false">
      <alignment horizontal="general" vertical="center" textRotation="0" wrapText="true" indent="0" shrinkToFit="false"/>
      <protection locked="true" hidden="false"/>
    </xf>
    <xf numFmtId="164" fontId="6" fillId="0" borderId="19" xfId="0" applyFont="true" applyBorder="true" applyAlignment="true" applyProtection="false">
      <alignment horizontal="general" vertical="center" textRotation="0" wrapText="true" indent="0" shrinkToFit="false"/>
      <protection locked="true" hidden="false"/>
    </xf>
    <xf numFmtId="164" fontId="0" fillId="8" borderId="0" xfId="0" applyFont="false" applyBorder="false" applyAlignment="true" applyProtection="false">
      <alignment horizontal="general" vertical="top" textRotation="0" wrapText="false" indent="0" shrinkToFit="false"/>
      <protection locked="true" hidden="false"/>
    </xf>
    <xf numFmtId="164" fontId="6" fillId="0" borderId="20" xfId="0" applyFont="true" applyBorder="true" applyAlignment="true" applyProtection="false">
      <alignment horizontal="left" vertical="center" textRotation="0" wrapText="true" indent="1" shrinkToFit="false"/>
      <protection locked="true" hidden="false"/>
    </xf>
    <xf numFmtId="164" fontId="20" fillId="9" borderId="17" xfId="0" applyFont="true" applyBorder="true" applyAlignment="true" applyProtection="false">
      <alignment horizontal="general" vertical="center" textRotation="0" wrapText="false" indent="0" shrinkToFit="false"/>
      <protection locked="true" hidden="false"/>
    </xf>
    <xf numFmtId="164" fontId="33" fillId="10" borderId="17" xfId="0" applyFont="true" applyBorder="true" applyAlignment="true" applyProtection="false">
      <alignment horizontal="center" vertical="center" textRotation="0" wrapText="false" indent="0" shrinkToFit="false"/>
      <protection locked="true" hidden="false"/>
    </xf>
    <xf numFmtId="164" fontId="33" fillId="11" borderId="17" xfId="0" applyFont="true" applyBorder="true" applyAlignment="true" applyProtection="false">
      <alignment horizontal="center" vertical="center" textRotation="0" wrapText="false" indent="0" shrinkToFit="false"/>
      <protection locked="true" hidden="false"/>
    </xf>
    <xf numFmtId="164" fontId="34" fillId="9" borderId="17" xfId="0" applyFont="true" applyBorder="true" applyAlignment="true" applyProtection="false">
      <alignment horizontal="center" vertical="center" textRotation="0" wrapText="true" indent="0" shrinkToFit="false"/>
      <protection locked="true" hidden="false"/>
    </xf>
    <xf numFmtId="164" fontId="33" fillId="9" borderId="17" xfId="0" applyFont="true" applyBorder="true" applyAlignment="true" applyProtection="false">
      <alignment horizontal="center" vertical="center" textRotation="0" wrapText="true" indent="0" shrinkToFit="false"/>
      <protection locked="true" hidden="false"/>
    </xf>
    <xf numFmtId="164" fontId="33" fillId="12" borderId="21" xfId="0" applyFont="true" applyBorder="true" applyAlignment="true" applyProtection="false">
      <alignment horizontal="center" vertical="center" textRotation="0" wrapText="true" indent="0" shrinkToFit="false"/>
      <protection locked="true" hidden="false"/>
    </xf>
    <xf numFmtId="164" fontId="33" fillId="5" borderId="21" xfId="0" applyFont="true" applyBorder="true" applyAlignment="true" applyProtection="false">
      <alignment horizontal="center" vertical="center" textRotation="0" wrapText="true" indent="0" shrinkToFit="false"/>
      <protection locked="true" hidden="false"/>
    </xf>
    <xf numFmtId="164" fontId="35" fillId="7" borderId="2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33" fillId="12" borderId="19" xfId="0" applyFont="true" applyBorder="true" applyAlignment="true" applyProtection="false">
      <alignment horizontal="center" vertical="center" textRotation="0" wrapText="true" indent="0" shrinkToFit="false"/>
      <protection locked="true" hidden="false"/>
    </xf>
    <xf numFmtId="164" fontId="33" fillId="5" borderId="19" xfId="0" applyFont="true" applyBorder="true" applyAlignment="true" applyProtection="false">
      <alignment horizontal="center" vertical="center" textRotation="0" wrapText="true" indent="0" shrinkToFit="false"/>
      <protection locked="true" hidden="false"/>
    </xf>
    <xf numFmtId="164" fontId="35" fillId="7" borderId="19" xfId="0" applyFont="true" applyBorder="true" applyAlignment="true" applyProtection="false">
      <alignment horizontal="center" vertical="center" textRotation="0" wrapText="true" indent="0" shrinkToFit="false"/>
      <protection locked="true" hidden="false"/>
    </xf>
    <xf numFmtId="164" fontId="6" fillId="0" borderId="17" xfId="0" applyFont="true" applyBorder="true" applyAlignment="true" applyProtection="false">
      <alignment horizontal="center" vertical="center" textRotation="0" wrapText="false" indent="0" shrinkToFit="false"/>
      <protection locked="true" hidden="false"/>
    </xf>
    <xf numFmtId="164" fontId="6" fillId="0" borderId="17"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6" shrinkToFit="false"/>
      <protection locked="true" hidden="false"/>
    </xf>
    <xf numFmtId="164" fontId="20" fillId="0" borderId="0" xfId="0" applyFont="true" applyBorder="false" applyAlignment="true" applyProtection="false">
      <alignment horizontal="left" vertical="center" textRotation="0" wrapText="false" indent="10" shrinkToFit="false"/>
      <protection locked="true" hidden="false"/>
    </xf>
    <xf numFmtId="164" fontId="20" fillId="0" borderId="0" xfId="0" applyFont="true" applyBorder="false" applyAlignment="true" applyProtection="false">
      <alignment horizontal="left" vertical="center" textRotation="0" wrapText="false" indent="4" shrinkToFit="false"/>
      <protection locked="true" hidden="false"/>
    </xf>
    <xf numFmtId="164" fontId="37" fillId="0" borderId="0" xfId="0" applyFont="true" applyBorder="false" applyAlignment="true" applyProtection="false">
      <alignment horizontal="left" vertical="center" textRotation="0" wrapText="true" indent="0" shrinkToFit="false"/>
      <protection locked="true" hidden="false"/>
    </xf>
    <xf numFmtId="164" fontId="38" fillId="8" borderId="17" xfId="0" applyFont="true" applyBorder="true" applyAlignment="true" applyProtection="false">
      <alignment horizontal="left" vertical="top" textRotation="0" wrapText="true" indent="0" shrinkToFit="false"/>
      <protection locked="true" hidden="false"/>
    </xf>
    <xf numFmtId="164" fontId="38" fillId="8" borderId="20" xfId="0" applyFont="true" applyBorder="true" applyAlignment="true" applyProtection="false">
      <alignment horizontal="left" vertical="top" textRotation="0" wrapText="true" indent="0" shrinkToFit="false"/>
      <protection locked="true" hidden="false"/>
    </xf>
    <xf numFmtId="164" fontId="35" fillId="8" borderId="20" xfId="0" applyFont="true" applyBorder="true" applyAlignment="true" applyProtection="false">
      <alignment horizontal="right" vertical="top" textRotation="0" wrapText="true" indent="0" shrinkToFit="false"/>
      <protection locked="true" hidden="false"/>
    </xf>
    <xf numFmtId="164" fontId="39" fillId="4" borderId="19" xfId="0" applyFont="true" applyBorder="true" applyAlignment="true" applyProtection="false">
      <alignment horizontal="general" vertical="top" textRotation="0" wrapText="true" indent="0" shrinkToFit="false"/>
      <protection locked="true" hidden="false"/>
    </xf>
    <xf numFmtId="164" fontId="40" fillId="4" borderId="19" xfId="0" applyFont="true" applyBorder="true" applyAlignment="true" applyProtection="false">
      <alignment horizontal="right" vertical="top" textRotation="0" wrapText="true" indent="0" shrinkToFit="false"/>
      <protection locked="true" hidden="false"/>
    </xf>
    <xf numFmtId="164" fontId="39" fillId="5" borderId="19" xfId="0" applyFont="true" applyBorder="true" applyAlignment="true" applyProtection="false">
      <alignment horizontal="general" vertical="top" textRotation="0" wrapText="true" indent="0" shrinkToFit="false"/>
      <protection locked="true" hidden="false"/>
    </xf>
    <xf numFmtId="164" fontId="40" fillId="5" borderId="19" xfId="0" applyFont="true" applyBorder="true" applyAlignment="true" applyProtection="false">
      <alignment horizontal="right" vertical="top" textRotation="0" wrapText="true" indent="0" shrinkToFit="false"/>
      <protection locked="true" hidden="false"/>
    </xf>
    <xf numFmtId="164" fontId="33" fillId="5" borderId="19" xfId="0" applyFont="true" applyBorder="true" applyAlignment="true" applyProtection="false">
      <alignment horizontal="right" vertical="top" textRotation="0" wrapText="true" indent="0" shrinkToFit="false"/>
      <protection locked="true" hidden="false"/>
    </xf>
    <xf numFmtId="164" fontId="41" fillId="7" borderId="18" xfId="0" applyFont="true" applyBorder="true" applyAlignment="true" applyProtection="false">
      <alignment horizontal="left" vertical="top" textRotation="0" wrapText="true" indent="0" shrinkToFit="false"/>
      <protection locked="true" hidden="false"/>
    </xf>
    <xf numFmtId="164" fontId="37" fillId="7" borderId="19" xfId="0" applyFont="true" applyBorder="true" applyAlignment="true" applyProtection="false">
      <alignment horizontal="left" vertical="top" textRotation="0" wrapText="true" indent="0" shrinkToFit="false"/>
      <protection locked="true" hidden="false"/>
    </xf>
    <xf numFmtId="164" fontId="33" fillId="7" borderId="19" xfId="0" applyFont="true" applyBorder="true" applyAlignment="true" applyProtection="false">
      <alignment horizontal="right" vertical="top" textRotation="0" wrapText="true" indent="0" shrinkToFit="false"/>
      <protection locked="true" hidden="false"/>
    </xf>
    <xf numFmtId="164" fontId="9" fillId="2" borderId="6" xfId="23" applyFont="true" applyBorder="true" applyAlignment="true" applyProtection="false">
      <alignment horizontal="general" vertical="top" textRotation="0" wrapText="true" indent="0" shrinkToFit="false"/>
      <protection locked="true" hidden="false"/>
    </xf>
    <xf numFmtId="164" fontId="13" fillId="3" borderId="8" xfId="0" applyFont="true" applyBorder="true" applyAlignment="true" applyProtection="false">
      <alignment horizontal="general" vertical="top" textRotation="0" wrapText="true" indent="0" shrinkToFit="false"/>
      <protection locked="true" hidden="false"/>
    </xf>
    <xf numFmtId="164" fontId="13" fillId="3" borderId="8" xfId="0" applyFont="true" applyBorder="true" applyAlignment="true" applyProtection="false">
      <alignment horizontal="general" vertical="center" textRotation="0" wrapText="true" indent="0" shrinkToFit="false"/>
      <protection locked="true" hidden="false"/>
    </xf>
    <xf numFmtId="164" fontId="6" fillId="3" borderId="8" xfId="0" applyFont="true" applyBorder="true" applyAlignment="true" applyProtection="false">
      <alignment horizontal="center" vertical="top" textRotation="0" wrapText="true" indent="0" shrinkToFit="false"/>
      <protection locked="true" hidden="false"/>
    </xf>
    <xf numFmtId="164" fontId="6" fillId="3" borderId="8" xfId="0" applyFont="true" applyBorder="true" applyAlignment="true" applyProtection="false">
      <alignment horizontal="center" vertical="center" textRotation="0" wrapText="true" indent="0" shrinkToFit="false"/>
      <protection locked="true" hidden="false"/>
    </xf>
    <xf numFmtId="165" fontId="6" fillId="7" borderId="8" xfId="0" applyFont="true" applyBorder="true" applyAlignment="true" applyProtection="false">
      <alignment horizontal="center" vertical="top" textRotation="0" wrapText="true" indent="0" shrinkToFit="false"/>
      <protection locked="true" hidden="false"/>
    </xf>
    <xf numFmtId="164" fontId="6" fillId="3" borderId="5" xfId="0" applyFont="true" applyBorder="true" applyAlignment="true" applyProtection="false">
      <alignment horizontal="left" vertical="center" textRotation="0" wrapText="true" indent="0" shrinkToFit="false"/>
      <protection locked="true" hidden="false"/>
    </xf>
    <xf numFmtId="164" fontId="6" fillId="0" borderId="8" xfId="0" applyFont="true" applyBorder="true" applyAlignment="true" applyProtection="false">
      <alignment horizontal="left" vertical="top" textRotation="0" wrapText="true" indent="0" shrinkToFit="false"/>
      <protection locked="true" hidden="false"/>
    </xf>
    <xf numFmtId="164" fontId="6" fillId="0" borderId="8" xfId="0" applyFont="true" applyBorder="true" applyAlignment="true" applyProtection="false">
      <alignment horizontal="left" vertical="center" textRotation="0" wrapText="true" indent="0" shrinkToFit="false"/>
      <protection locked="true" hidden="false"/>
    </xf>
    <xf numFmtId="164" fontId="6" fillId="0" borderId="8" xfId="23" applyFont="true" applyBorder="true" applyAlignment="true" applyProtection="false">
      <alignment horizontal="center" vertical="top" textRotation="0" wrapText="true" indent="0" shrinkToFit="false"/>
      <protection locked="true" hidden="false"/>
    </xf>
    <xf numFmtId="165" fontId="6" fillId="7" borderId="8" xfId="20" applyFont="true" applyBorder="true" applyAlignment="true" applyProtection="false">
      <alignment horizontal="center" vertical="top" textRotation="0" wrapText="true" indent="0" shrinkToFit="false"/>
      <protection locked="true" hidden="false"/>
    </xf>
    <xf numFmtId="164" fontId="43" fillId="0" borderId="17" xfId="0" applyFont="true" applyBorder="true" applyAlignment="true" applyProtection="false">
      <alignment horizontal="justify" vertical="center" textRotation="0" wrapText="true" indent="0" shrinkToFit="false"/>
      <protection locked="true" hidden="false"/>
    </xf>
    <xf numFmtId="164" fontId="43" fillId="7" borderId="17" xfId="0" applyFont="true" applyBorder="true" applyAlignment="true" applyProtection="false">
      <alignment horizontal="justify" vertical="center" textRotation="0" wrapText="true" indent="0" shrinkToFit="false"/>
      <protection locked="true" hidden="false"/>
    </xf>
    <xf numFmtId="164" fontId="43" fillId="5" borderId="17" xfId="0" applyFont="true" applyBorder="true" applyAlignment="true" applyProtection="false">
      <alignment horizontal="justify" vertical="center" textRotation="0" wrapText="true" indent="0" shrinkToFit="false"/>
      <protection locked="true" hidden="false"/>
    </xf>
    <xf numFmtId="164" fontId="43" fillId="13" borderId="17" xfId="0" applyFont="true" applyBorder="true" applyAlignment="true" applyProtection="false">
      <alignment horizontal="justify"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45" fillId="0" borderId="0" xfId="0" applyFont="true" applyBorder="false" applyAlignment="true" applyProtection="false">
      <alignment horizontal="general" vertical="top" textRotation="0" wrapText="false" indent="0" shrinkToFit="false"/>
      <protection locked="true" hidden="false"/>
    </xf>
    <xf numFmtId="164" fontId="46" fillId="0" borderId="0" xfId="0" applyFont="true" applyBorder="true" applyAlignment="true" applyProtection="false">
      <alignment horizontal="left" vertical="top" textRotation="0" wrapText="true" indent="0" shrinkToFit="false" readingOrder="1"/>
      <protection locked="true" hidden="false"/>
    </xf>
    <xf numFmtId="164" fontId="46" fillId="0" borderId="0" xfId="0" applyFont="true" applyBorder="true" applyAlignment="true" applyProtection="false">
      <alignment horizontal="general" vertical="top" textRotation="0" wrapText="true" indent="0" shrinkToFit="false" readingOrder="1"/>
      <protection locked="true" hidden="false"/>
    </xf>
    <xf numFmtId="164" fontId="6" fillId="0" borderId="0" xfId="0" applyFont="true" applyBorder="false" applyAlignment="true" applyProtection="false">
      <alignment horizontal="general" vertical="top" textRotation="0" wrapText="true" indent="0" shrinkToFit="false" readingOrder="1"/>
      <protection locked="true" hidden="false"/>
    </xf>
    <xf numFmtId="164" fontId="6" fillId="0" borderId="0" xfId="0" applyFont="true" applyBorder="false" applyAlignment="true" applyProtection="false">
      <alignment horizontal="center" vertical="top" textRotation="0" wrapText="true" indent="0" shrinkToFit="false" readingOrder="1"/>
      <protection locked="true" hidden="false"/>
    </xf>
    <xf numFmtId="164" fontId="47" fillId="0" borderId="0" xfId="0" applyFont="true" applyBorder="true" applyAlignment="true" applyProtection="false">
      <alignment horizontal="general" vertical="top" textRotation="0" wrapText="true" indent="0" shrinkToFit="false" readingOrder="1"/>
      <protection locked="true" hidden="false"/>
    </xf>
    <xf numFmtId="164" fontId="32" fillId="14" borderId="17" xfId="0" applyFont="true" applyBorder="true" applyAlignment="true" applyProtection="false">
      <alignment horizontal="general" vertical="top" textRotation="0" wrapText="true" indent="0" shrinkToFit="false"/>
      <protection locked="true" hidden="false"/>
    </xf>
    <xf numFmtId="164" fontId="32" fillId="14" borderId="20" xfId="0" applyFont="true" applyBorder="true" applyAlignment="true" applyProtection="false">
      <alignment horizontal="general" vertical="top" textRotation="0" wrapText="true" indent="0" shrinkToFit="false"/>
      <protection locked="true" hidden="false"/>
    </xf>
    <xf numFmtId="164" fontId="6" fillId="7" borderId="18" xfId="0" applyFont="true" applyBorder="true" applyAlignment="true" applyProtection="false">
      <alignment horizontal="general" vertical="top" textRotation="0" wrapText="true" indent="0" shrinkToFit="false"/>
      <protection locked="true" hidden="false"/>
    </xf>
    <xf numFmtId="164" fontId="6" fillId="7" borderId="19" xfId="0" applyFont="true" applyBorder="true" applyAlignment="true" applyProtection="false">
      <alignment horizontal="general" vertical="top" textRotation="0" wrapText="true" indent="0" shrinkToFit="false"/>
      <protection locked="true" hidden="false"/>
    </xf>
    <xf numFmtId="164" fontId="6" fillId="15" borderId="18" xfId="0" applyFont="true" applyBorder="true" applyAlignment="true" applyProtection="false">
      <alignment horizontal="general" vertical="top" textRotation="0" wrapText="true" indent="0" shrinkToFit="false"/>
      <protection locked="true" hidden="false"/>
    </xf>
    <xf numFmtId="164" fontId="6" fillId="15" borderId="19" xfId="0" applyFont="true" applyBorder="true" applyAlignment="true" applyProtection="false">
      <alignment horizontal="general" vertical="top" textRotation="0" wrapText="true" indent="0" shrinkToFit="false"/>
      <protection locked="true" hidden="false"/>
    </xf>
    <xf numFmtId="164" fontId="6" fillId="4" borderId="19"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16" borderId="17" xfId="0" applyFont="true" applyBorder="true" applyAlignment="true" applyProtection="false">
      <alignment horizontal="general" vertical="center" textRotation="0" wrapText="true" indent="0" shrinkToFit="false"/>
      <protection locked="true" hidden="false"/>
    </xf>
    <xf numFmtId="164" fontId="7" fillId="16" borderId="20" xfId="0" applyFont="true" applyBorder="true" applyAlignment="true" applyProtection="false">
      <alignment horizontal="general" vertical="center" textRotation="0" wrapText="true" indent="0" shrinkToFit="false"/>
      <protection locked="true" hidden="false"/>
    </xf>
    <xf numFmtId="164" fontId="6" fillId="7" borderId="18" xfId="0" applyFont="true" applyBorder="true" applyAlignment="true" applyProtection="false">
      <alignment horizontal="general" vertical="center" textRotation="0" wrapText="true" indent="0" shrinkToFit="false"/>
      <protection locked="true" hidden="false"/>
    </xf>
    <xf numFmtId="164" fontId="6" fillId="7" borderId="19" xfId="0" applyFont="true" applyBorder="true" applyAlignment="true" applyProtection="false">
      <alignment horizontal="general" vertical="center" textRotation="0" wrapText="true" indent="0" shrinkToFit="false"/>
      <protection locked="true" hidden="false"/>
    </xf>
    <xf numFmtId="164" fontId="6" fillId="5" borderId="17" xfId="0" applyFont="true" applyBorder="true" applyAlignment="true" applyProtection="false">
      <alignment horizontal="general" vertical="center" textRotation="0" wrapText="true" indent="0" shrinkToFit="false"/>
      <protection locked="true" hidden="false"/>
    </xf>
    <xf numFmtId="164" fontId="6" fillId="5" borderId="21" xfId="0" applyFont="true" applyBorder="true" applyAlignment="true" applyProtection="false">
      <alignment horizontal="general" vertical="center" textRotation="0" wrapText="true" indent="0" shrinkToFit="false"/>
      <protection locked="true" hidden="false"/>
    </xf>
    <xf numFmtId="164" fontId="6" fillId="5" borderId="19" xfId="0" applyFont="true" applyBorder="true" applyAlignment="true" applyProtection="false">
      <alignment horizontal="general" vertical="center" textRotation="0" wrapText="true" indent="0" shrinkToFit="false"/>
      <protection locked="true" hidden="false"/>
    </xf>
    <xf numFmtId="164" fontId="6" fillId="4" borderId="19" xfId="0" applyFont="true" applyBorder="true" applyAlignment="true" applyProtection="false">
      <alignment horizontal="general" vertical="center"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 name="Normal 6" xfId="24"/>
  </cellStyles>
  <dxfs count="80">
    <dxf>
      <fill>
        <patternFill patternType="solid">
          <fgColor rgb="FFCCFFFF"/>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0000"/>
          <bgColor rgb="FF000000"/>
        </patternFill>
      </fill>
    </dxf>
    <dxf>
      <fill>
        <patternFill patternType="solid">
          <fgColor rgb="FFFF9900"/>
          <bgColor rgb="FF000000"/>
        </patternFill>
      </fill>
    </dxf>
    <dxf>
      <fill>
        <patternFill patternType="solid">
          <fgColor rgb="FF00FF00"/>
          <bgColor rgb="FF00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patternType="solid">
          <fgColor rgb="FF00B050"/>
          <bgColor rgb="FF000000"/>
        </patternFill>
      </fill>
    </dxf>
    <dxf>
      <fill>
        <patternFill patternType="solid">
          <fgColor rgb="FFFFC000"/>
          <bgColor rgb="FF000000"/>
        </patternFill>
      </fill>
    </dxf>
    <dxf>
      <fill>
        <patternFill>
          <bgColor rgb="FFFF0000"/>
        </patternFill>
      </fill>
    </dxf>
    <dxf>
      <fill>
        <patternFill>
          <bgColor rgb="FF5AED1F"/>
        </patternFill>
      </fill>
    </dxf>
    <dxf>
      <fill>
        <patternFill>
          <bgColor rgb="FFFFC000"/>
        </patternFill>
      </fill>
    </dxf>
    <dxf>
      <fill>
        <patternFill>
          <bgColor rgb="FFFFC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ont>
        <color rgb="00FFFFFF"/>
      </font>
    </dxf>
    <dxf>
      <font>
        <color rgb="FF9C0006"/>
      </font>
      <fill>
        <patternFill>
          <bgColor rgb="FFFFC7CE"/>
        </patternFill>
      </fill>
    </dxf>
    <dxf>
      <font>
        <color rgb="FF9C0006"/>
      </font>
      <fill>
        <patternFill>
          <bgColor rgb="FFFFC7CE"/>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ont>
        <color rgb="00FFFFFF"/>
      </font>
    </dxf>
    <dxf>
      <font>
        <color rgb="FF9C0006"/>
      </font>
      <fill>
        <patternFill>
          <bgColor rgb="FFFFC7CE"/>
        </patternFill>
      </fill>
    </dxf>
    <dxf>
      <font>
        <color rgb="FF9C0006"/>
      </font>
      <fill>
        <patternFill>
          <bgColor rgb="FFFFC7CE"/>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00FF00"/>
        </patternFill>
      </fill>
    </dxf>
    <dxf>
      <fill>
        <patternFill>
          <bgColor rgb="FFFF9900"/>
        </patternFill>
      </fill>
    </dxf>
    <dxf>
      <fill>
        <patternFill>
          <bgColor rgb="FFFF0000"/>
        </patternFill>
      </fill>
    </dxf>
    <dxf>
      <fill>
        <patternFill>
          <bgColor rgb="FFFF0000"/>
        </patternFill>
      </fill>
    </dxf>
    <dxf>
      <fill>
        <patternFill>
          <bgColor rgb="FF5AED1F"/>
        </patternFill>
      </fill>
    </dxf>
    <dxf>
      <fill>
        <patternFill>
          <bgColor rgb="FFFFC000"/>
        </patternFill>
      </fill>
    </dxf>
    <dxf>
      <fill>
        <patternFill>
          <bgColor rgb="FFFFC000"/>
        </patternFill>
      </fill>
    </dxf>
    <dxf>
      <fill>
        <patternFill>
          <bgColor rgb="FF00FF00"/>
        </patternFill>
      </fill>
    </dxf>
    <dxf>
      <fill>
        <patternFill>
          <bgColor rgb="FFFF9900"/>
        </patternFill>
      </fill>
    </dxf>
    <dxf>
      <fill>
        <patternFill>
          <bgColor rgb="FFFF0000"/>
        </patternFill>
      </fill>
    </dxf>
  </dxfs>
  <colors>
    <indexedColors>
      <rgbColor rgb="FF000000"/>
      <rgbColor rgb="FFFFFFFF"/>
      <rgbColor rgb="FFFF0000"/>
      <rgbColor rgb="FF00FF00"/>
      <rgbColor rgb="FF0000FF"/>
      <rgbColor rgb="FFFFFF00"/>
      <rgbColor rgb="FFFF00FF"/>
      <rgbColor rgb="FF30FC14"/>
      <rgbColor rgb="FF9C0006"/>
      <rgbColor rgb="FF008000"/>
      <rgbColor rgb="FF000080"/>
      <rgbColor rgb="FF808000"/>
      <rgbColor rgb="FF800080"/>
      <rgbColor rgb="FF00B050"/>
      <rgbColor rgb="FFBFBFBF"/>
      <rgbColor rgb="FF808080"/>
      <rgbColor rgb="FF95B3D7"/>
      <rgbColor rgb="FF993366"/>
      <rgbColor rgb="FFFFFFCC"/>
      <rgbColor rgb="FFCCFFFF"/>
      <rgbColor rgb="FF660066"/>
      <rgbColor rgb="FFF79646"/>
      <rgbColor rgb="FF0070C0"/>
      <rgbColor rgb="FFD9D9D9"/>
      <rgbColor rgb="FF000080"/>
      <rgbColor rgb="FFFF00FF"/>
      <rgbColor rgb="FFFFFF00"/>
      <rgbColor rgb="FF00FFFF"/>
      <rgbColor rgb="FF800080"/>
      <rgbColor rgb="FFAC0000"/>
      <rgbColor rgb="FF008080"/>
      <rgbColor rgb="FF0000FF"/>
      <rgbColor rgb="FF00CCFF"/>
      <rgbColor rgb="FFCCFFFF"/>
      <rgbColor rgb="FF92D050"/>
      <rgbColor rgb="FFFFFF99"/>
      <rgbColor rgb="FF8DB4E2"/>
      <rgbColor rgb="FFFF99CC"/>
      <rgbColor rgb="FFCC99FF"/>
      <rgbColor rgb="FFFFC7CE"/>
      <rgbColor rgb="FF3366FF"/>
      <rgbColor rgb="FF5AED1F"/>
      <rgbColor rgb="FF99CC00"/>
      <rgbColor rgb="FFFFC000"/>
      <rgbColor rgb="FFFF9900"/>
      <rgbColor rgb="FFFF6600"/>
      <rgbColor rgb="FF666699"/>
      <rgbColor rgb="FFC4BD97"/>
      <rgbColor rgb="FF002060"/>
      <rgbColor rgb="FF339933"/>
      <rgbColor rgb="FF003300"/>
      <rgbColor rgb="FF333300"/>
      <rgbColor rgb="FFC000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jpeg"/><Relationship Id="rId3" Type="http://schemas.openxmlformats.org/officeDocument/2006/relationships/image" Target="../media/image1.wmf"/><Relationship Id="rId4" Type="http://schemas.openxmlformats.org/officeDocument/2006/relationships/image" Target="../media/image1.wmf"/><Relationship Id="rId5" Type="http://schemas.openxmlformats.org/officeDocument/2006/relationships/image" Target="../media/image1.wmf"/><Relationship Id="rId6" Type="http://schemas.openxmlformats.org/officeDocument/2006/relationships/image" Target="../media/image3.png"/><Relationship Id="rId7" Type="http://schemas.openxmlformats.org/officeDocument/2006/relationships/image" Target="../media/image1.wmf"/><Relationship Id="rId8" Type="http://schemas.openxmlformats.org/officeDocument/2006/relationships/image" Target="../media/image1.wmf"/><Relationship Id="rId9" Type="http://schemas.openxmlformats.org/officeDocument/2006/relationships/image" Target="../media/image4.png"/><Relationship Id="rId10" Type="http://schemas.openxmlformats.org/officeDocument/2006/relationships/image" Target="../media/image5.svg"/><Relationship Id="rId11" Type="http://schemas.openxmlformats.org/officeDocument/2006/relationships/image" Target="../media/image4.png"/><Relationship Id="rId12" Type="http://schemas.openxmlformats.org/officeDocument/2006/relationships/image" Target="../media/image5.svg"/><Relationship Id="rId13" Type="http://schemas.openxmlformats.org/officeDocument/2006/relationships/image" Target="../media/image4.png"/><Relationship Id="rId14" Type="http://schemas.openxmlformats.org/officeDocument/2006/relationships/image" Target="../media/image5.svg"/><Relationship Id="rId15" Type="http://schemas.openxmlformats.org/officeDocument/2006/relationships/image" Target="../media/image4.png"/><Relationship Id="rId16" Type="http://schemas.openxmlformats.org/officeDocument/2006/relationships/image" Target="../media/image5.svg"/><Relationship Id="rId17"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svg"/><Relationship Id="rId3" Type="http://schemas.openxmlformats.org/officeDocument/2006/relationships/image" Target="../media/image6.png"/><Relationship Id="rId4" Type="http://schemas.openxmlformats.org/officeDocument/2006/relationships/image" Target="../media/image7.svg"/>
</Relationships>
</file>

<file path=xl/drawings/_rels/drawing4.xml.rels><?xml version="1.0" encoding="UTF-8"?>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svg"/><Relationship Id="rId3" Type="http://schemas.openxmlformats.org/officeDocument/2006/relationships/image" Target="../media/image6.png"/><Relationship Id="rId4" Type="http://schemas.openxmlformats.org/officeDocument/2006/relationships/image" Target="../media/image7.svg"/>
</Relationships>
</file>

<file path=xl/drawings/_rels/drawing5.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jpeg"/><Relationship Id="rId3" Type="http://schemas.openxmlformats.org/officeDocument/2006/relationships/image" Target="../media/image1.wmf"/><Relationship Id="rId4" Type="http://schemas.openxmlformats.org/officeDocument/2006/relationships/image" Target="../media/image1.wmf"/><Relationship Id="rId5" Type="http://schemas.openxmlformats.org/officeDocument/2006/relationships/image" Target="../media/image1.wmf"/><Relationship Id="rId6" Type="http://schemas.openxmlformats.org/officeDocument/2006/relationships/image" Target="../media/image3.png"/><Relationship Id="rId7" Type="http://schemas.openxmlformats.org/officeDocument/2006/relationships/image" Target="../media/image1.wmf"/><Relationship Id="rId8" Type="http://schemas.openxmlformats.org/officeDocument/2006/relationships/image" Target="../media/image1.wmf"/><Relationship Id="rId9" Type="http://schemas.openxmlformats.org/officeDocument/2006/relationships/image" Target="../media/image4.png"/><Relationship Id="rId10" Type="http://schemas.openxmlformats.org/officeDocument/2006/relationships/image" Target="../media/image5.svg"/><Relationship Id="rId11" Type="http://schemas.openxmlformats.org/officeDocument/2006/relationships/image" Target="../media/image4.png"/><Relationship Id="rId12" Type="http://schemas.openxmlformats.org/officeDocument/2006/relationships/image" Target="../media/image5.svg"/><Relationship Id="rId13" Type="http://schemas.openxmlformats.org/officeDocument/2006/relationships/image" Target="../media/image4.png"/><Relationship Id="rId14" Type="http://schemas.openxmlformats.org/officeDocument/2006/relationships/image" Target="../media/image5.svg"/><Relationship Id="rId15" Type="http://schemas.openxmlformats.org/officeDocument/2006/relationships/image" Target="../media/image4.png"/><Relationship Id="rId16" Type="http://schemas.openxmlformats.org/officeDocument/2006/relationships/image" Target="../media/image5.svg"/><Relationship Id="rId17" Type="http://schemas.openxmlformats.org/officeDocument/2006/relationships/image" Target="../media/image3.png"/><Relationship Id="rId18" Type="http://schemas.openxmlformats.org/officeDocument/2006/relationships/image" Target="../media/image1.wmf"/><Relationship Id="rId19" Type="http://schemas.openxmlformats.org/officeDocument/2006/relationships/image" Target="../media/image1.wmf"/><Relationship Id="rId20" Type="http://schemas.openxmlformats.org/officeDocument/2006/relationships/image" Target="../media/image1.wmf"/><Relationship Id="rId21" Type="http://schemas.openxmlformats.org/officeDocument/2006/relationships/image" Target="../media/image1.wmf"/><Relationship Id="rId22" Type="http://schemas.openxmlformats.org/officeDocument/2006/relationships/image" Target="../media/image1.wmf"/><Relationship Id="rId23" Type="http://schemas.openxmlformats.org/officeDocument/2006/relationships/image" Target="../media/image1.wmf"/>
</Relationships>
</file>

<file path=xl/drawings/_rels/drawing6.xml.rels><?xml version="1.0" encoding="UTF-8"?>
<Relationships xmlns="http://schemas.openxmlformats.org/package/2006/relationships"><Relationship Id="rId1" Type="http://schemas.openxmlformats.org/officeDocument/2006/relationships/image" Target="../media/image8.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9360</xdr:rowOff>
    </xdr:from>
    <xdr:to>
      <xdr:col>1</xdr:col>
      <xdr:colOff>28080</xdr:colOff>
      <xdr:row>9</xdr:row>
      <xdr:rowOff>18360</xdr:rowOff>
    </xdr:to>
    <xdr:pic>
      <xdr:nvPicPr>
        <xdr:cNvPr id="0" name="Picture 1" descr=""/>
        <xdr:cNvPicPr/>
      </xdr:nvPicPr>
      <xdr:blipFill>
        <a:blip r:embed="rId1"/>
        <a:stretch/>
      </xdr:blipFill>
      <xdr:spPr>
        <a:xfrm>
          <a:off x="1057320" y="2228760"/>
          <a:ext cx="28080" cy="9000"/>
        </a:xfrm>
        <a:prstGeom prst="rect">
          <a:avLst/>
        </a:prstGeom>
        <a:ln w="0">
          <a:noFill/>
        </a:ln>
      </xdr:spPr>
    </xdr:pic>
    <xdr:clientData/>
  </xdr:twoCellAnchor>
  <xdr:twoCellAnchor editAs="oneCell">
    <xdr:from>
      <xdr:col>0</xdr:col>
      <xdr:colOff>0</xdr:colOff>
      <xdr:row>0</xdr:row>
      <xdr:rowOff>0</xdr:rowOff>
    </xdr:from>
    <xdr:to>
      <xdr:col>3</xdr:col>
      <xdr:colOff>583200</xdr:colOff>
      <xdr:row>3</xdr:row>
      <xdr:rowOff>105840</xdr:rowOff>
    </xdr:to>
    <xdr:pic>
      <xdr:nvPicPr>
        <xdr:cNvPr id="1" name="4986a0ea-2e8e-444c-952f-00709b2aeed8" descr="cid:25D0C032-6D12-4531-8CF1-39236F8AEF52"/>
        <xdr:cNvPicPr/>
      </xdr:nvPicPr>
      <xdr:blipFill>
        <a:blip r:embed="rId2"/>
        <a:stretch/>
      </xdr:blipFill>
      <xdr:spPr>
        <a:xfrm>
          <a:off x="0" y="0"/>
          <a:ext cx="3986280" cy="677520"/>
        </a:xfrm>
        <a:prstGeom prst="rect">
          <a:avLst/>
        </a:prstGeom>
        <a:ln w="9525">
          <a:noFill/>
        </a:ln>
      </xdr:spPr>
    </xdr:pic>
    <xdr:clientData/>
  </xdr:twoCellAnchor>
  <xdr:twoCellAnchor editAs="oneCell">
    <xdr:from>
      <xdr:col>1</xdr:col>
      <xdr:colOff>0</xdr:colOff>
      <xdr:row>10</xdr:row>
      <xdr:rowOff>9360</xdr:rowOff>
    </xdr:from>
    <xdr:to>
      <xdr:col>1</xdr:col>
      <xdr:colOff>28080</xdr:colOff>
      <xdr:row>10</xdr:row>
      <xdr:rowOff>18360</xdr:rowOff>
    </xdr:to>
    <xdr:pic>
      <xdr:nvPicPr>
        <xdr:cNvPr id="2" name="Picture 3" descr=""/>
        <xdr:cNvPicPr/>
      </xdr:nvPicPr>
      <xdr:blipFill>
        <a:blip r:embed="rId3"/>
        <a:stretch/>
      </xdr:blipFill>
      <xdr:spPr>
        <a:xfrm>
          <a:off x="1057320" y="5181480"/>
          <a:ext cx="28080" cy="9000"/>
        </a:xfrm>
        <a:prstGeom prst="rect">
          <a:avLst/>
        </a:prstGeom>
        <a:ln w="0">
          <a:noFill/>
        </a:ln>
      </xdr:spPr>
    </xdr:pic>
    <xdr:clientData/>
  </xdr:twoCellAnchor>
  <xdr:twoCellAnchor editAs="oneCell">
    <xdr:from>
      <xdr:col>1</xdr:col>
      <xdr:colOff>0</xdr:colOff>
      <xdr:row>40</xdr:row>
      <xdr:rowOff>9720</xdr:rowOff>
    </xdr:from>
    <xdr:to>
      <xdr:col>1</xdr:col>
      <xdr:colOff>28080</xdr:colOff>
      <xdr:row>40</xdr:row>
      <xdr:rowOff>18720</xdr:rowOff>
    </xdr:to>
    <xdr:pic>
      <xdr:nvPicPr>
        <xdr:cNvPr id="3" name="Picture 4" descr=""/>
        <xdr:cNvPicPr/>
      </xdr:nvPicPr>
      <xdr:blipFill>
        <a:blip r:embed="rId4"/>
        <a:stretch/>
      </xdr:blipFill>
      <xdr:spPr>
        <a:xfrm>
          <a:off x="1057320" y="102070080"/>
          <a:ext cx="28080" cy="9000"/>
        </a:xfrm>
        <a:prstGeom prst="rect">
          <a:avLst/>
        </a:prstGeom>
        <a:ln w="0">
          <a:noFill/>
        </a:ln>
      </xdr:spPr>
    </xdr:pic>
    <xdr:clientData/>
  </xdr:twoCellAnchor>
  <xdr:twoCellAnchor editAs="oneCell">
    <xdr:from>
      <xdr:col>1</xdr:col>
      <xdr:colOff>0</xdr:colOff>
      <xdr:row>40</xdr:row>
      <xdr:rowOff>9720</xdr:rowOff>
    </xdr:from>
    <xdr:to>
      <xdr:col>1</xdr:col>
      <xdr:colOff>28080</xdr:colOff>
      <xdr:row>40</xdr:row>
      <xdr:rowOff>18720</xdr:rowOff>
    </xdr:to>
    <xdr:pic>
      <xdr:nvPicPr>
        <xdr:cNvPr id="4" name="Picture 5" descr=""/>
        <xdr:cNvPicPr/>
      </xdr:nvPicPr>
      <xdr:blipFill>
        <a:blip r:embed="rId5"/>
        <a:stretch/>
      </xdr:blipFill>
      <xdr:spPr>
        <a:xfrm>
          <a:off x="1057320" y="102070080"/>
          <a:ext cx="28080" cy="9000"/>
        </a:xfrm>
        <a:prstGeom prst="rect">
          <a:avLst/>
        </a:prstGeom>
        <a:ln w="0">
          <a:noFill/>
        </a:ln>
      </xdr:spPr>
    </xdr:pic>
    <xdr:clientData/>
  </xdr:twoCellAnchor>
  <xdr:twoCellAnchor editAs="oneCell">
    <xdr:from>
      <xdr:col>21</xdr:col>
      <xdr:colOff>0</xdr:colOff>
      <xdr:row>9</xdr:row>
      <xdr:rowOff>9360</xdr:rowOff>
    </xdr:from>
    <xdr:to>
      <xdr:col>21</xdr:col>
      <xdr:colOff>369360</xdr:colOff>
      <xdr:row>9</xdr:row>
      <xdr:rowOff>9360</xdr:rowOff>
    </xdr:to>
    <xdr:pic>
      <xdr:nvPicPr>
        <xdr:cNvPr id="5" name="Picture 25" descr=""/>
        <xdr:cNvPicPr/>
      </xdr:nvPicPr>
      <xdr:blipFill>
        <a:blip r:embed="rId6"/>
        <a:stretch/>
      </xdr:blipFill>
      <xdr:spPr>
        <a:xfrm>
          <a:off x="24899760" y="2228760"/>
          <a:ext cx="369360" cy="0"/>
        </a:xfrm>
        <a:prstGeom prst="rect">
          <a:avLst/>
        </a:prstGeom>
        <a:ln w="0">
          <a:noFill/>
        </a:ln>
      </xdr:spPr>
    </xdr:pic>
    <xdr:clientData/>
  </xdr:twoCellAnchor>
  <xdr:twoCellAnchor editAs="oneCell">
    <xdr:from>
      <xdr:col>1</xdr:col>
      <xdr:colOff>0</xdr:colOff>
      <xdr:row>8</xdr:row>
      <xdr:rowOff>9360</xdr:rowOff>
    </xdr:from>
    <xdr:to>
      <xdr:col>1</xdr:col>
      <xdr:colOff>28080</xdr:colOff>
      <xdr:row>8</xdr:row>
      <xdr:rowOff>18360</xdr:rowOff>
    </xdr:to>
    <xdr:pic>
      <xdr:nvPicPr>
        <xdr:cNvPr id="6" name="Picture 9" descr=""/>
        <xdr:cNvPicPr/>
      </xdr:nvPicPr>
      <xdr:blipFill>
        <a:blip r:embed="rId7"/>
        <a:stretch/>
      </xdr:blipFill>
      <xdr:spPr>
        <a:xfrm>
          <a:off x="1057320" y="1476360"/>
          <a:ext cx="28080" cy="9000"/>
        </a:xfrm>
        <a:prstGeom prst="rect">
          <a:avLst/>
        </a:prstGeom>
        <a:ln w="0">
          <a:noFill/>
        </a:ln>
      </xdr:spPr>
    </xdr:pic>
    <xdr:clientData/>
  </xdr:twoCellAnchor>
  <xdr:twoCellAnchor editAs="oneCell">
    <xdr:from>
      <xdr:col>1</xdr:col>
      <xdr:colOff>0</xdr:colOff>
      <xdr:row>9</xdr:row>
      <xdr:rowOff>9360</xdr:rowOff>
    </xdr:from>
    <xdr:to>
      <xdr:col>1</xdr:col>
      <xdr:colOff>28080</xdr:colOff>
      <xdr:row>9</xdr:row>
      <xdr:rowOff>18360</xdr:rowOff>
    </xdr:to>
    <xdr:pic>
      <xdr:nvPicPr>
        <xdr:cNvPr id="7" name="Picture 10" descr=""/>
        <xdr:cNvPicPr/>
      </xdr:nvPicPr>
      <xdr:blipFill>
        <a:blip r:embed="rId8"/>
        <a:stretch/>
      </xdr:blipFill>
      <xdr:spPr>
        <a:xfrm>
          <a:off x="1057320" y="2228760"/>
          <a:ext cx="28080" cy="9000"/>
        </a:xfrm>
        <a:prstGeom prst="rect">
          <a:avLst/>
        </a:prstGeom>
        <a:ln w="0">
          <a:noFill/>
        </a:ln>
      </xdr:spPr>
    </xdr:pic>
    <xdr:clientData/>
  </xdr:twoCellAnchor>
  <xdr:twoCellAnchor editAs="oneCell">
    <xdr:from>
      <xdr:col>21</xdr:col>
      <xdr:colOff>0</xdr:colOff>
      <xdr:row>9</xdr:row>
      <xdr:rowOff>9360</xdr:rowOff>
    </xdr:from>
    <xdr:to>
      <xdr:col>21</xdr:col>
      <xdr:colOff>352440</xdr:colOff>
      <xdr:row>9</xdr:row>
      <xdr:rowOff>9360</xdr:rowOff>
    </xdr:to>
    <xdr:pic>
      <xdr:nvPicPr>
        <xdr:cNvPr id="8" name="Graphic 8" descr="Sad Face with No Fill"/>
        <xdr:cNvPicPr/>
      </xdr:nvPicPr>
      <xdr:blipFill>
        <a:blip r:embed="rId9">
          <a:extLst>
            <a:ext uri="{96DAC541-7B7A-43D3-8B79-37D633B846F1}">
              <asvg:svgBlip xmlns:asvg="http://schemas.microsoft.com/office/drawing/2016/SVG/main" r:embed="rId10"/>
            </a:ext>
          </a:extLst>
        </a:blip>
        <a:stretch/>
      </xdr:blipFill>
      <xdr:spPr>
        <a:xfrm>
          <a:off x="24899760" y="2228760"/>
          <a:ext cx="352440" cy="0"/>
        </a:xfrm>
        <a:prstGeom prst="rect">
          <a:avLst/>
        </a:prstGeom>
        <a:ln w="0">
          <a:noFill/>
        </a:ln>
      </xdr:spPr>
    </xdr:pic>
    <xdr:clientData/>
  </xdr:twoCellAnchor>
  <xdr:twoCellAnchor editAs="oneCell">
    <xdr:from>
      <xdr:col>21</xdr:col>
      <xdr:colOff>0</xdr:colOff>
      <xdr:row>9</xdr:row>
      <xdr:rowOff>9360</xdr:rowOff>
    </xdr:from>
    <xdr:to>
      <xdr:col>21</xdr:col>
      <xdr:colOff>352440</xdr:colOff>
      <xdr:row>9</xdr:row>
      <xdr:rowOff>9360</xdr:rowOff>
    </xdr:to>
    <xdr:pic>
      <xdr:nvPicPr>
        <xdr:cNvPr id="9" name="Graphic 8" descr="Sad Face with No Fill"/>
        <xdr:cNvPicPr/>
      </xdr:nvPicPr>
      <xdr:blipFill>
        <a:blip r:embed="rId11">
          <a:extLst>
            <a:ext uri="{96DAC541-7B7A-43D3-8B79-37D633B846F1}">
              <asvg:svgBlip xmlns:asvg="http://schemas.microsoft.com/office/drawing/2016/SVG/main" r:embed="rId12"/>
            </a:ext>
          </a:extLst>
        </a:blip>
        <a:stretch/>
      </xdr:blipFill>
      <xdr:spPr>
        <a:xfrm>
          <a:off x="24899760" y="2228760"/>
          <a:ext cx="352440" cy="0"/>
        </a:xfrm>
        <a:prstGeom prst="rect">
          <a:avLst/>
        </a:prstGeom>
        <a:ln w="0">
          <a:noFill/>
        </a:ln>
      </xdr:spPr>
    </xdr:pic>
    <xdr:clientData/>
  </xdr:twoCellAnchor>
  <xdr:twoCellAnchor editAs="oneCell">
    <xdr:from>
      <xdr:col>21</xdr:col>
      <xdr:colOff>0</xdr:colOff>
      <xdr:row>9</xdr:row>
      <xdr:rowOff>9360</xdr:rowOff>
    </xdr:from>
    <xdr:to>
      <xdr:col>21</xdr:col>
      <xdr:colOff>352440</xdr:colOff>
      <xdr:row>9</xdr:row>
      <xdr:rowOff>9360</xdr:rowOff>
    </xdr:to>
    <xdr:pic>
      <xdr:nvPicPr>
        <xdr:cNvPr id="10" name="Graphic 8" descr="Sad Face with No Fill"/>
        <xdr:cNvPicPr/>
      </xdr:nvPicPr>
      <xdr:blipFill>
        <a:blip r:embed="rId13">
          <a:extLst>
            <a:ext uri="{96DAC541-7B7A-43D3-8B79-37D633B846F1}">
              <asvg:svgBlip xmlns:asvg="http://schemas.microsoft.com/office/drawing/2016/SVG/main" r:embed="rId14"/>
            </a:ext>
          </a:extLst>
        </a:blip>
        <a:stretch/>
      </xdr:blipFill>
      <xdr:spPr>
        <a:xfrm>
          <a:off x="24899760" y="2228760"/>
          <a:ext cx="352440" cy="0"/>
        </a:xfrm>
        <a:prstGeom prst="rect">
          <a:avLst/>
        </a:prstGeom>
        <a:ln w="0">
          <a:noFill/>
        </a:ln>
      </xdr:spPr>
    </xdr:pic>
    <xdr:clientData/>
  </xdr:twoCellAnchor>
  <xdr:twoCellAnchor editAs="oneCell">
    <xdr:from>
      <xdr:col>21</xdr:col>
      <xdr:colOff>0</xdr:colOff>
      <xdr:row>9</xdr:row>
      <xdr:rowOff>9360</xdr:rowOff>
    </xdr:from>
    <xdr:to>
      <xdr:col>21</xdr:col>
      <xdr:colOff>352440</xdr:colOff>
      <xdr:row>9</xdr:row>
      <xdr:rowOff>9360</xdr:rowOff>
    </xdr:to>
    <xdr:pic>
      <xdr:nvPicPr>
        <xdr:cNvPr id="11" name="Graphic 8" descr="Sad Face with No Fill"/>
        <xdr:cNvPicPr/>
      </xdr:nvPicPr>
      <xdr:blipFill>
        <a:blip r:embed="rId15">
          <a:extLst>
            <a:ext uri="{96DAC541-7B7A-43D3-8B79-37D633B846F1}">
              <asvg:svgBlip xmlns:asvg="http://schemas.microsoft.com/office/drawing/2016/SVG/main" r:embed="rId16"/>
            </a:ext>
          </a:extLst>
        </a:blip>
        <a:stretch/>
      </xdr:blipFill>
      <xdr:spPr>
        <a:xfrm>
          <a:off x="24899760" y="2228760"/>
          <a:ext cx="352440" cy="0"/>
        </a:xfrm>
        <a:prstGeom prst="rect">
          <a:avLst/>
        </a:prstGeom>
        <a:ln w="0">
          <a:noFill/>
        </a:ln>
      </xdr:spPr>
    </xdr:pic>
    <xdr:clientData/>
  </xdr:twoCellAnchor>
  <xdr:twoCellAnchor editAs="oneCell">
    <xdr:from>
      <xdr:col>18</xdr:col>
      <xdr:colOff>1320840</xdr:colOff>
      <xdr:row>395</xdr:row>
      <xdr:rowOff>37440</xdr:rowOff>
    </xdr:from>
    <xdr:to>
      <xdr:col>18</xdr:col>
      <xdr:colOff>1609560</xdr:colOff>
      <xdr:row>396</xdr:row>
      <xdr:rowOff>107280</xdr:rowOff>
    </xdr:to>
    <xdr:pic>
      <xdr:nvPicPr>
        <xdr:cNvPr id="12" name="Picture 121" descr=""/>
        <xdr:cNvPicPr/>
      </xdr:nvPicPr>
      <xdr:blipFill>
        <a:blip r:embed="rId17"/>
        <a:stretch/>
      </xdr:blipFill>
      <xdr:spPr>
        <a:xfrm>
          <a:off x="20732760" y="190903320"/>
          <a:ext cx="288720" cy="260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21</xdr:col>
      <xdr:colOff>0</xdr:colOff>
      <xdr:row>0</xdr:row>
      <xdr:rowOff>1076400</xdr:rowOff>
    </xdr:from>
    <xdr:to>
      <xdr:col>21</xdr:col>
      <xdr:colOff>564120</xdr:colOff>
      <xdr:row>0</xdr:row>
      <xdr:rowOff>1076400</xdr:rowOff>
    </xdr:to>
    <xdr:pic>
      <xdr:nvPicPr>
        <xdr:cNvPr id="13" name="Graphic 1" descr="Neutral Face with No Fill"/>
        <xdr:cNvPicPr/>
      </xdr:nvPicPr>
      <xdr:blipFill>
        <a:blip r:embed="rId1">
          <a:extLst>
            <a:ext uri="{96DAC541-7B7A-43D3-8B79-37D633B846F1}">
              <asvg:svgBlip xmlns:asvg="http://schemas.microsoft.com/office/drawing/2016/SVG/main" r:embed="rId2"/>
            </a:ext>
          </a:extLst>
        </a:blip>
        <a:stretch/>
      </xdr:blipFill>
      <xdr:spPr>
        <a:xfrm>
          <a:off x="28180080" y="1076400"/>
          <a:ext cx="564120" cy="0"/>
        </a:xfrm>
        <a:prstGeom prst="rect">
          <a:avLst/>
        </a:prstGeom>
        <a:ln w="0">
          <a:noFill/>
        </a:ln>
      </xdr:spPr>
    </xdr:pic>
    <xdr:clientData/>
  </xdr:twoCellAnchor>
  <xdr:twoCellAnchor editAs="oneCell">
    <xdr:from>
      <xdr:col>21</xdr:col>
      <xdr:colOff>0</xdr:colOff>
      <xdr:row>0</xdr:row>
      <xdr:rowOff>1076400</xdr:rowOff>
    </xdr:from>
    <xdr:to>
      <xdr:col>21</xdr:col>
      <xdr:colOff>564120</xdr:colOff>
      <xdr:row>0</xdr:row>
      <xdr:rowOff>1076400</xdr:rowOff>
    </xdr:to>
    <xdr:pic>
      <xdr:nvPicPr>
        <xdr:cNvPr id="14" name="Graphic 9" descr="Neutral Face with No Fill"/>
        <xdr:cNvPicPr/>
      </xdr:nvPicPr>
      <xdr:blipFill>
        <a:blip r:embed="rId3">
          <a:extLst>
            <a:ext uri="{96DAC541-7B7A-43D3-8B79-37D633B846F1}">
              <asvg:svgBlip xmlns:asvg="http://schemas.microsoft.com/office/drawing/2016/SVG/main" r:embed="rId4"/>
            </a:ext>
          </a:extLst>
        </a:blip>
        <a:stretch/>
      </xdr:blipFill>
      <xdr:spPr>
        <a:xfrm>
          <a:off x="28180080" y="1076400"/>
          <a:ext cx="564120" cy="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23</xdr:col>
      <xdr:colOff>0</xdr:colOff>
      <xdr:row>0</xdr:row>
      <xdr:rowOff>1190520</xdr:rowOff>
    </xdr:from>
    <xdr:to>
      <xdr:col>23</xdr:col>
      <xdr:colOff>564120</xdr:colOff>
      <xdr:row>0</xdr:row>
      <xdr:rowOff>1190520</xdr:rowOff>
    </xdr:to>
    <xdr:pic>
      <xdr:nvPicPr>
        <xdr:cNvPr id="15" name="Graphic 1" descr="Neutral Face with No Fill"/>
        <xdr:cNvPicPr/>
      </xdr:nvPicPr>
      <xdr:blipFill>
        <a:blip r:embed="rId1">
          <a:extLst>
            <a:ext uri="{96DAC541-7B7A-43D3-8B79-37D633B846F1}">
              <asvg:svgBlip xmlns:asvg="http://schemas.microsoft.com/office/drawing/2016/SVG/main" r:embed="rId2"/>
            </a:ext>
          </a:extLst>
        </a:blip>
        <a:stretch/>
      </xdr:blipFill>
      <xdr:spPr>
        <a:xfrm>
          <a:off x="31935600" y="1190520"/>
          <a:ext cx="564120" cy="0"/>
        </a:xfrm>
        <a:prstGeom prst="rect">
          <a:avLst/>
        </a:prstGeom>
        <a:ln w="0">
          <a:noFill/>
        </a:ln>
      </xdr:spPr>
    </xdr:pic>
    <xdr:clientData/>
  </xdr:twoCellAnchor>
  <xdr:twoCellAnchor editAs="oneCell">
    <xdr:from>
      <xdr:col>23</xdr:col>
      <xdr:colOff>0</xdr:colOff>
      <xdr:row>0</xdr:row>
      <xdr:rowOff>1190520</xdr:rowOff>
    </xdr:from>
    <xdr:to>
      <xdr:col>23</xdr:col>
      <xdr:colOff>564120</xdr:colOff>
      <xdr:row>0</xdr:row>
      <xdr:rowOff>1190520</xdr:rowOff>
    </xdr:to>
    <xdr:pic>
      <xdr:nvPicPr>
        <xdr:cNvPr id="16" name="Graphic 9" descr="Neutral Face with No Fill"/>
        <xdr:cNvPicPr/>
      </xdr:nvPicPr>
      <xdr:blipFill>
        <a:blip r:embed="rId3">
          <a:extLst>
            <a:ext uri="{96DAC541-7B7A-43D3-8B79-37D633B846F1}">
              <asvg:svgBlip xmlns:asvg="http://schemas.microsoft.com/office/drawing/2016/SVG/main" r:embed="rId4"/>
            </a:ext>
          </a:extLst>
        </a:blip>
        <a:stretch/>
      </xdr:blipFill>
      <xdr:spPr>
        <a:xfrm>
          <a:off x="31935600" y="1190520"/>
          <a:ext cx="564120" cy="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9360</xdr:rowOff>
    </xdr:from>
    <xdr:to>
      <xdr:col>1</xdr:col>
      <xdr:colOff>28080</xdr:colOff>
      <xdr:row>9</xdr:row>
      <xdr:rowOff>18360</xdr:rowOff>
    </xdr:to>
    <xdr:pic>
      <xdr:nvPicPr>
        <xdr:cNvPr id="17" name="Picture 1" descr=""/>
        <xdr:cNvPicPr/>
      </xdr:nvPicPr>
      <xdr:blipFill>
        <a:blip r:embed="rId1"/>
        <a:stretch/>
      </xdr:blipFill>
      <xdr:spPr>
        <a:xfrm>
          <a:off x="1057320" y="2228760"/>
          <a:ext cx="28080" cy="9000"/>
        </a:xfrm>
        <a:prstGeom prst="rect">
          <a:avLst/>
        </a:prstGeom>
        <a:ln w="0">
          <a:noFill/>
        </a:ln>
      </xdr:spPr>
    </xdr:pic>
    <xdr:clientData/>
  </xdr:twoCellAnchor>
  <xdr:twoCellAnchor editAs="oneCell">
    <xdr:from>
      <xdr:col>0</xdr:col>
      <xdr:colOff>0</xdr:colOff>
      <xdr:row>0</xdr:row>
      <xdr:rowOff>0</xdr:rowOff>
    </xdr:from>
    <xdr:to>
      <xdr:col>3</xdr:col>
      <xdr:colOff>583200</xdr:colOff>
      <xdr:row>3</xdr:row>
      <xdr:rowOff>105840</xdr:rowOff>
    </xdr:to>
    <xdr:pic>
      <xdr:nvPicPr>
        <xdr:cNvPr id="18" name="4986a0ea-2e8e-444c-952f-00709b2aeed8" descr="cid:25D0C032-6D12-4531-8CF1-39236F8AEF52"/>
        <xdr:cNvPicPr/>
      </xdr:nvPicPr>
      <xdr:blipFill>
        <a:blip r:embed="rId2"/>
        <a:stretch/>
      </xdr:blipFill>
      <xdr:spPr>
        <a:xfrm>
          <a:off x="0" y="0"/>
          <a:ext cx="3986280" cy="677520"/>
        </a:xfrm>
        <a:prstGeom prst="rect">
          <a:avLst/>
        </a:prstGeom>
        <a:ln w="9525">
          <a:noFill/>
        </a:ln>
      </xdr:spPr>
    </xdr:pic>
    <xdr:clientData/>
  </xdr:twoCellAnchor>
  <xdr:twoCellAnchor editAs="oneCell">
    <xdr:from>
      <xdr:col>1</xdr:col>
      <xdr:colOff>0</xdr:colOff>
      <xdr:row>10</xdr:row>
      <xdr:rowOff>9360</xdr:rowOff>
    </xdr:from>
    <xdr:to>
      <xdr:col>1</xdr:col>
      <xdr:colOff>28080</xdr:colOff>
      <xdr:row>10</xdr:row>
      <xdr:rowOff>18360</xdr:rowOff>
    </xdr:to>
    <xdr:pic>
      <xdr:nvPicPr>
        <xdr:cNvPr id="19" name="Picture 3" descr=""/>
        <xdr:cNvPicPr/>
      </xdr:nvPicPr>
      <xdr:blipFill>
        <a:blip r:embed="rId3"/>
        <a:stretch/>
      </xdr:blipFill>
      <xdr:spPr>
        <a:xfrm>
          <a:off x="1057320" y="4286160"/>
          <a:ext cx="28080" cy="9000"/>
        </a:xfrm>
        <a:prstGeom prst="rect">
          <a:avLst/>
        </a:prstGeom>
        <a:ln w="0">
          <a:noFill/>
        </a:ln>
      </xdr:spPr>
    </xdr:pic>
    <xdr:clientData/>
  </xdr:twoCellAnchor>
  <xdr:twoCellAnchor editAs="oneCell">
    <xdr:from>
      <xdr:col>1</xdr:col>
      <xdr:colOff>0</xdr:colOff>
      <xdr:row>15</xdr:row>
      <xdr:rowOff>1402920</xdr:rowOff>
    </xdr:from>
    <xdr:to>
      <xdr:col>1</xdr:col>
      <xdr:colOff>28080</xdr:colOff>
      <xdr:row>15</xdr:row>
      <xdr:rowOff>1411920</xdr:rowOff>
    </xdr:to>
    <xdr:pic>
      <xdr:nvPicPr>
        <xdr:cNvPr id="20" name="Picture 4" descr=""/>
        <xdr:cNvPicPr/>
      </xdr:nvPicPr>
      <xdr:blipFill>
        <a:blip r:embed="rId4"/>
        <a:stretch/>
      </xdr:blipFill>
      <xdr:spPr>
        <a:xfrm>
          <a:off x="1057320" y="23250600"/>
          <a:ext cx="28080" cy="9000"/>
        </a:xfrm>
        <a:prstGeom prst="rect">
          <a:avLst/>
        </a:prstGeom>
        <a:ln w="0">
          <a:noFill/>
        </a:ln>
      </xdr:spPr>
    </xdr:pic>
    <xdr:clientData/>
  </xdr:twoCellAnchor>
  <xdr:twoCellAnchor editAs="oneCell">
    <xdr:from>
      <xdr:col>1</xdr:col>
      <xdr:colOff>0</xdr:colOff>
      <xdr:row>15</xdr:row>
      <xdr:rowOff>1402920</xdr:rowOff>
    </xdr:from>
    <xdr:to>
      <xdr:col>1</xdr:col>
      <xdr:colOff>28080</xdr:colOff>
      <xdr:row>15</xdr:row>
      <xdr:rowOff>1411920</xdr:rowOff>
    </xdr:to>
    <xdr:pic>
      <xdr:nvPicPr>
        <xdr:cNvPr id="21" name="Picture 5" descr=""/>
        <xdr:cNvPicPr/>
      </xdr:nvPicPr>
      <xdr:blipFill>
        <a:blip r:embed="rId5"/>
        <a:stretch/>
      </xdr:blipFill>
      <xdr:spPr>
        <a:xfrm>
          <a:off x="1057320" y="23250600"/>
          <a:ext cx="28080" cy="9000"/>
        </a:xfrm>
        <a:prstGeom prst="rect">
          <a:avLst/>
        </a:prstGeom>
        <a:ln w="0">
          <a:noFill/>
        </a:ln>
      </xdr:spPr>
    </xdr:pic>
    <xdr:clientData/>
  </xdr:twoCellAnchor>
  <xdr:twoCellAnchor editAs="oneCell">
    <xdr:from>
      <xdr:col>21</xdr:col>
      <xdr:colOff>0</xdr:colOff>
      <xdr:row>9</xdr:row>
      <xdr:rowOff>9360</xdr:rowOff>
    </xdr:from>
    <xdr:to>
      <xdr:col>21</xdr:col>
      <xdr:colOff>369360</xdr:colOff>
      <xdr:row>9</xdr:row>
      <xdr:rowOff>9360</xdr:rowOff>
    </xdr:to>
    <xdr:pic>
      <xdr:nvPicPr>
        <xdr:cNvPr id="22" name="Picture 6" descr=""/>
        <xdr:cNvPicPr/>
      </xdr:nvPicPr>
      <xdr:blipFill>
        <a:blip r:embed="rId6"/>
        <a:stretch/>
      </xdr:blipFill>
      <xdr:spPr>
        <a:xfrm>
          <a:off x="24899760" y="2228760"/>
          <a:ext cx="369360" cy="0"/>
        </a:xfrm>
        <a:prstGeom prst="rect">
          <a:avLst/>
        </a:prstGeom>
        <a:ln w="0">
          <a:noFill/>
        </a:ln>
      </xdr:spPr>
    </xdr:pic>
    <xdr:clientData/>
  </xdr:twoCellAnchor>
  <xdr:twoCellAnchor editAs="oneCell">
    <xdr:from>
      <xdr:col>1</xdr:col>
      <xdr:colOff>0</xdr:colOff>
      <xdr:row>8</xdr:row>
      <xdr:rowOff>9360</xdr:rowOff>
    </xdr:from>
    <xdr:to>
      <xdr:col>1</xdr:col>
      <xdr:colOff>28080</xdr:colOff>
      <xdr:row>8</xdr:row>
      <xdr:rowOff>18360</xdr:rowOff>
    </xdr:to>
    <xdr:pic>
      <xdr:nvPicPr>
        <xdr:cNvPr id="23" name="Picture 7" descr=""/>
        <xdr:cNvPicPr/>
      </xdr:nvPicPr>
      <xdr:blipFill>
        <a:blip r:embed="rId7"/>
        <a:stretch/>
      </xdr:blipFill>
      <xdr:spPr>
        <a:xfrm>
          <a:off x="1057320" y="1476360"/>
          <a:ext cx="28080" cy="9000"/>
        </a:xfrm>
        <a:prstGeom prst="rect">
          <a:avLst/>
        </a:prstGeom>
        <a:ln w="0">
          <a:noFill/>
        </a:ln>
      </xdr:spPr>
    </xdr:pic>
    <xdr:clientData/>
  </xdr:twoCellAnchor>
  <xdr:twoCellAnchor editAs="oneCell">
    <xdr:from>
      <xdr:col>1</xdr:col>
      <xdr:colOff>0</xdr:colOff>
      <xdr:row>9</xdr:row>
      <xdr:rowOff>9360</xdr:rowOff>
    </xdr:from>
    <xdr:to>
      <xdr:col>1</xdr:col>
      <xdr:colOff>28080</xdr:colOff>
      <xdr:row>9</xdr:row>
      <xdr:rowOff>18360</xdr:rowOff>
    </xdr:to>
    <xdr:pic>
      <xdr:nvPicPr>
        <xdr:cNvPr id="24" name="Picture 8" descr=""/>
        <xdr:cNvPicPr/>
      </xdr:nvPicPr>
      <xdr:blipFill>
        <a:blip r:embed="rId8"/>
        <a:stretch/>
      </xdr:blipFill>
      <xdr:spPr>
        <a:xfrm>
          <a:off x="1057320" y="2228760"/>
          <a:ext cx="28080" cy="9000"/>
        </a:xfrm>
        <a:prstGeom prst="rect">
          <a:avLst/>
        </a:prstGeom>
        <a:ln w="0">
          <a:noFill/>
        </a:ln>
      </xdr:spPr>
    </xdr:pic>
    <xdr:clientData/>
  </xdr:twoCellAnchor>
  <xdr:twoCellAnchor editAs="oneCell">
    <xdr:from>
      <xdr:col>21</xdr:col>
      <xdr:colOff>0</xdr:colOff>
      <xdr:row>9</xdr:row>
      <xdr:rowOff>9360</xdr:rowOff>
    </xdr:from>
    <xdr:to>
      <xdr:col>21</xdr:col>
      <xdr:colOff>352440</xdr:colOff>
      <xdr:row>9</xdr:row>
      <xdr:rowOff>9360</xdr:rowOff>
    </xdr:to>
    <xdr:pic>
      <xdr:nvPicPr>
        <xdr:cNvPr id="25" name="Graphic 8" descr="Sad Face with No Fill"/>
        <xdr:cNvPicPr/>
      </xdr:nvPicPr>
      <xdr:blipFill>
        <a:blip r:embed="rId9">
          <a:extLst>
            <a:ext uri="{96DAC541-7B7A-43D3-8B79-37D633B846F1}">
              <asvg:svgBlip xmlns:asvg="http://schemas.microsoft.com/office/drawing/2016/SVG/main" r:embed="rId10"/>
            </a:ext>
          </a:extLst>
        </a:blip>
        <a:stretch/>
      </xdr:blipFill>
      <xdr:spPr>
        <a:xfrm>
          <a:off x="24899760" y="2228760"/>
          <a:ext cx="352440" cy="0"/>
        </a:xfrm>
        <a:prstGeom prst="rect">
          <a:avLst/>
        </a:prstGeom>
        <a:ln w="0">
          <a:noFill/>
        </a:ln>
      </xdr:spPr>
    </xdr:pic>
    <xdr:clientData/>
  </xdr:twoCellAnchor>
  <xdr:twoCellAnchor editAs="oneCell">
    <xdr:from>
      <xdr:col>21</xdr:col>
      <xdr:colOff>0</xdr:colOff>
      <xdr:row>9</xdr:row>
      <xdr:rowOff>9360</xdr:rowOff>
    </xdr:from>
    <xdr:to>
      <xdr:col>21</xdr:col>
      <xdr:colOff>352440</xdr:colOff>
      <xdr:row>9</xdr:row>
      <xdr:rowOff>9360</xdr:rowOff>
    </xdr:to>
    <xdr:pic>
      <xdr:nvPicPr>
        <xdr:cNvPr id="26" name="Graphic 8" descr="Sad Face with No Fill"/>
        <xdr:cNvPicPr/>
      </xdr:nvPicPr>
      <xdr:blipFill>
        <a:blip r:embed="rId11">
          <a:extLst>
            <a:ext uri="{96DAC541-7B7A-43D3-8B79-37D633B846F1}">
              <asvg:svgBlip xmlns:asvg="http://schemas.microsoft.com/office/drawing/2016/SVG/main" r:embed="rId12"/>
            </a:ext>
          </a:extLst>
        </a:blip>
        <a:stretch/>
      </xdr:blipFill>
      <xdr:spPr>
        <a:xfrm>
          <a:off x="24899760" y="2228760"/>
          <a:ext cx="352440" cy="0"/>
        </a:xfrm>
        <a:prstGeom prst="rect">
          <a:avLst/>
        </a:prstGeom>
        <a:ln w="0">
          <a:noFill/>
        </a:ln>
      </xdr:spPr>
    </xdr:pic>
    <xdr:clientData/>
  </xdr:twoCellAnchor>
  <xdr:twoCellAnchor editAs="oneCell">
    <xdr:from>
      <xdr:col>21</xdr:col>
      <xdr:colOff>0</xdr:colOff>
      <xdr:row>9</xdr:row>
      <xdr:rowOff>9360</xdr:rowOff>
    </xdr:from>
    <xdr:to>
      <xdr:col>21</xdr:col>
      <xdr:colOff>352440</xdr:colOff>
      <xdr:row>9</xdr:row>
      <xdr:rowOff>9360</xdr:rowOff>
    </xdr:to>
    <xdr:pic>
      <xdr:nvPicPr>
        <xdr:cNvPr id="27" name="Graphic 8" descr="Sad Face with No Fill"/>
        <xdr:cNvPicPr/>
      </xdr:nvPicPr>
      <xdr:blipFill>
        <a:blip r:embed="rId13">
          <a:extLst>
            <a:ext uri="{96DAC541-7B7A-43D3-8B79-37D633B846F1}">
              <asvg:svgBlip xmlns:asvg="http://schemas.microsoft.com/office/drawing/2016/SVG/main" r:embed="rId14"/>
            </a:ext>
          </a:extLst>
        </a:blip>
        <a:stretch/>
      </xdr:blipFill>
      <xdr:spPr>
        <a:xfrm>
          <a:off x="24899760" y="2228760"/>
          <a:ext cx="352440" cy="0"/>
        </a:xfrm>
        <a:prstGeom prst="rect">
          <a:avLst/>
        </a:prstGeom>
        <a:ln w="0">
          <a:noFill/>
        </a:ln>
      </xdr:spPr>
    </xdr:pic>
    <xdr:clientData/>
  </xdr:twoCellAnchor>
  <xdr:twoCellAnchor editAs="oneCell">
    <xdr:from>
      <xdr:col>21</xdr:col>
      <xdr:colOff>0</xdr:colOff>
      <xdr:row>9</xdr:row>
      <xdr:rowOff>9360</xdr:rowOff>
    </xdr:from>
    <xdr:to>
      <xdr:col>21</xdr:col>
      <xdr:colOff>352440</xdr:colOff>
      <xdr:row>9</xdr:row>
      <xdr:rowOff>9360</xdr:rowOff>
    </xdr:to>
    <xdr:pic>
      <xdr:nvPicPr>
        <xdr:cNvPr id="28" name="Graphic 8" descr="Sad Face with No Fill"/>
        <xdr:cNvPicPr/>
      </xdr:nvPicPr>
      <xdr:blipFill>
        <a:blip r:embed="rId15">
          <a:extLst>
            <a:ext uri="{96DAC541-7B7A-43D3-8B79-37D633B846F1}">
              <asvg:svgBlip xmlns:asvg="http://schemas.microsoft.com/office/drawing/2016/SVG/main" r:embed="rId16"/>
            </a:ext>
          </a:extLst>
        </a:blip>
        <a:stretch/>
      </xdr:blipFill>
      <xdr:spPr>
        <a:xfrm>
          <a:off x="24899760" y="2228760"/>
          <a:ext cx="352440" cy="0"/>
        </a:xfrm>
        <a:prstGeom prst="rect">
          <a:avLst/>
        </a:prstGeom>
        <a:ln w="0">
          <a:noFill/>
        </a:ln>
      </xdr:spPr>
    </xdr:pic>
    <xdr:clientData/>
  </xdr:twoCellAnchor>
  <xdr:twoCellAnchor editAs="oneCell">
    <xdr:from>
      <xdr:col>18</xdr:col>
      <xdr:colOff>1320840</xdr:colOff>
      <xdr:row>359</xdr:row>
      <xdr:rowOff>49680</xdr:rowOff>
    </xdr:from>
    <xdr:to>
      <xdr:col>18</xdr:col>
      <xdr:colOff>1609560</xdr:colOff>
      <xdr:row>360</xdr:row>
      <xdr:rowOff>119880</xdr:rowOff>
    </xdr:to>
    <xdr:pic>
      <xdr:nvPicPr>
        <xdr:cNvPr id="29" name="Picture 13" descr=""/>
        <xdr:cNvPicPr/>
      </xdr:nvPicPr>
      <xdr:blipFill>
        <a:blip r:embed="rId17"/>
        <a:stretch/>
      </xdr:blipFill>
      <xdr:spPr>
        <a:xfrm>
          <a:off x="20732760" y="90071640"/>
          <a:ext cx="288720" cy="260640"/>
        </a:xfrm>
        <a:prstGeom prst="rect">
          <a:avLst/>
        </a:prstGeom>
        <a:ln w="0">
          <a:noFill/>
        </a:ln>
      </xdr:spPr>
    </xdr:pic>
    <xdr:clientData/>
  </xdr:twoCellAnchor>
  <xdr:twoCellAnchor editAs="oneCell">
    <xdr:from>
      <xdr:col>1</xdr:col>
      <xdr:colOff>0</xdr:colOff>
      <xdr:row>11</xdr:row>
      <xdr:rowOff>9720</xdr:rowOff>
    </xdr:from>
    <xdr:to>
      <xdr:col>1</xdr:col>
      <xdr:colOff>28080</xdr:colOff>
      <xdr:row>11</xdr:row>
      <xdr:rowOff>18720</xdr:rowOff>
    </xdr:to>
    <xdr:pic>
      <xdr:nvPicPr>
        <xdr:cNvPr id="30" name="Picture 14" descr=""/>
        <xdr:cNvPicPr/>
      </xdr:nvPicPr>
      <xdr:blipFill>
        <a:blip r:embed="rId18"/>
        <a:stretch/>
      </xdr:blipFill>
      <xdr:spPr>
        <a:xfrm>
          <a:off x="1057320" y="9487080"/>
          <a:ext cx="28080" cy="9000"/>
        </a:xfrm>
        <a:prstGeom prst="rect">
          <a:avLst/>
        </a:prstGeom>
        <a:ln w="0">
          <a:noFill/>
        </a:ln>
      </xdr:spPr>
    </xdr:pic>
    <xdr:clientData/>
  </xdr:twoCellAnchor>
  <xdr:twoCellAnchor editAs="oneCell">
    <xdr:from>
      <xdr:col>1</xdr:col>
      <xdr:colOff>0</xdr:colOff>
      <xdr:row>13</xdr:row>
      <xdr:rowOff>9720</xdr:rowOff>
    </xdr:from>
    <xdr:to>
      <xdr:col>1</xdr:col>
      <xdr:colOff>28080</xdr:colOff>
      <xdr:row>13</xdr:row>
      <xdr:rowOff>18720</xdr:rowOff>
    </xdr:to>
    <xdr:pic>
      <xdr:nvPicPr>
        <xdr:cNvPr id="31" name="Picture 20" descr=""/>
        <xdr:cNvPicPr/>
      </xdr:nvPicPr>
      <xdr:blipFill>
        <a:blip r:embed="rId19"/>
        <a:stretch/>
      </xdr:blipFill>
      <xdr:spPr>
        <a:xfrm>
          <a:off x="1057320" y="13982760"/>
          <a:ext cx="28080" cy="9000"/>
        </a:xfrm>
        <a:prstGeom prst="rect">
          <a:avLst/>
        </a:prstGeom>
        <a:ln w="0">
          <a:noFill/>
        </a:ln>
      </xdr:spPr>
    </xdr:pic>
    <xdr:clientData/>
  </xdr:twoCellAnchor>
  <xdr:twoCellAnchor editAs="oneCell">
    <xdr:from>
      <xdr:col>1</xdr:col>
      <xdr:colOff>0</xdr:colOff>
      <xdr:row>13</xdr:row>
      <xdr:rowOff>9720</xdr:rowOff>
    </xdr:from>
    <xdr:to>
      <xdr:col>1</xdr:col>
      <xdr:colOff>28080</xdr:colOff>
      <xdr:row>13</xdr:row>
      <xdr:rowOff>18720</xdr:rowOff>
    </xdr:to>
    <xdr:pic>
      <xdr:nvPicPr>
        <xdr:cNvPr id="32" name="Picture 21" descr=""/>
        <xdr:cNvPicPr/>
      </xdr:nvPicPr>
      <xdr:blipFill>
        <a:blip r:embed="rId20"/>
        <a:stretch/>
      </xdr:blipFill>
      <xdr:spPr>
        <a:xfrm>
          <a:off x="1057320" y="13982760"/>
          <a:ext cx="28080" cy="9000"/>
        </a:xfrm>
        <a:prstGeom prst="rect">
          <a:avLst/>
        </a:prstGeom>
        <a:ln w="0">
          <a:noFill/>
        </a:ln>
      </xdr:spPr>
    </xdr:pic>
    <xdr:clientData/>
  </xdr:twoCellAnchor>
  <xdr:twoCellAnchor editAs="oneCell">
    <xdr:from>
      <xdr:col>1</xdr:col>
      <xdr:colOff>0</xdr:colOff>
      <xdr:row>13</xdr:row>
      <xdr:rowOff>9720</xdr:rowOff>
    </xdr:from>
    <xdr:to>
      <xdr:col>1</xdr:col>
      <xdr:colOff>28080</xdr:colOff>
      <xdr:row>13</xdr:row>
      <xdr:rowOff>18720</xdr:rowOff>
    </xdr:to>
    <xdr:pic>
      <xdr:nvPicPr>
        <xdr:cNvPr id="33" name="Picture 22" descr=""/>
        <xdr:cNvPicPr/>
      </xdr:nvPicPr>
      <xdr:blipFill>
        <a:blip r:embed="rId21"/>
        <a:stretch/>
      </xdr:blipFill>
      <xdr:spPr>
        <a:xfrm>
          <a:off x="1057320" y="13982760"/>
          <a:ext cx="28080" cy="9000"/>
        </a:xfrm>
        <a:prstGeom prst="rect">
          <a:avLst/>
        </a:prstGeom>
        <a:ln w="0">
          <a:noFill/>
        </a:ln>
      </xdr:spPr>
    </xdr:pic>
    <xdr:clientData/>
  </xdr:twoCellAnchor>
  <xdr:twoCellAnchor editAs="oneCell">
    <xdr:from>
      <xdr:col>1</xdr:col>
      <xdr:colOff>0</xdr:colOff>
      <xdr:row>13</xdr:row>
      <xdr:rowOff>9720</xdr:rowOff>
    </xdr:from>
    <xdr:to>
      <xdr:col>1</xdr:col>
      <xdr:colOff>28080</xdr:colOff>
      <xdr:row>13</xdr:row>
      <xdr:rowOff>18720</xdr:rowOff>
    </xdr:to>
    <xdr:pic>
      <xdr:nvPicPr>
        <xdr:cNvPr id="34" name="Picture 23" descr=""/>
        <xdr:cNvPicPr/>
      </xdr:nvPicPr>
      <xdr:blipFill>
        <a:blip r:embed="rId22"/>
        <a:stretch/>
      </xdr:blipFill>
      <xdr:spPr>
        <a:xfrm>
          <a:off x="1057320" y="13982760"/>
          <a:ext cx="28080" cy="9000"/>
        </a:xfrm>
        <a:prstGeom prst="rect">
          <a:avLst/>
        </a:prstGeom>
        <a:ln w="0">
          <a:noFill/>
        </a:ln>
      </xdr:spPr>
    </xdr:pic>
    <xdr:clientData/>
  </xdr:twoCellAnchor>
  <xdr:twoCellAnchor editAs="oneCell">
    <xdr:from>
      <xdr:col>1</xdr:col>
      <xdr:colOff>0</xdr:colOff>
      <xdr:row>13</xdr:row>
      <xdr:rowOff>9720</xdr:rowOff>
    </xdr:from>
    <xdr:to>
      <xdr:col>1</xdr:col>
      <xdr:colOff>28080</xdr:colOff>
      <xdr:row>13</xdr:row>
      <xdr:rowOff>18720</xdr:rowOff>
    </xdr:to>
    <xdr:pic>
      <xdr:nvPicPr>
        <xdr:cNvPr id="35" name="Picture 24" descr=""/>
        <xdr:cNvPicPr/>
      </xdr:nvPicPr>
      <xdr:blipFill>
        <a:blip r:embed="rId23"/>
        <a:stretch/>
      </xdr:blipFill>
      <xdr:spPr>
        <a:xfrm>
          <a:off x="1057320" y="13982760"/>
          <a:ext cx="28080" cy="90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114120</xdr:rowOff>
    </xdr:from>
    <xdr:to>
      <xdr:col>5</xdr:col>
      <xdr:colOff>18720</xdr:colOff>
      <xdr:row>49</xdr:row>
      <xdr:rowOff>37080</xdr:rowOff>
    </xdr:to>
    <xdr:pic>
      <xdr:nvPicPr>
        <xdr:cNvPr id="36" name="Picture 1" descr=""/>
        <xdr:cNvPicPr/>
      </xdr:nvPicPr>
      <xdr:blipFill>
        <a:blip r:embed="rId1"/>
        <a:stretch/>
      </xdr:blipFill>
      <xdr:spPr>
        <a:xfrm>
          <a:off x="0" y="5707080"/>
          <a:ext cx="7111800" cy="46857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1" displayName="Table1" ref="A9:U47" headerRowCount="1" totalsRowCount="0" totalsRowShown="0">
  <autoFilter ref="A9:U47"/>
  <tableColumns count="21">
    <tableColumn id="1" name="Link to&#10;Outcome "/>
    <tableColumn id="2" name="Risk &#10;number "/>
    <tableColumn id="3" name="Unit"/>
    <tableColumn id="4" name="Risk&#10; Category"/>
    <tableColumn id="5" name="Risk Description "/>
    <tableColumn id="6" name="Risk Causes "/>
    <tableColumn id="7" name="Consequences"/>
    <tableColumn id="8" name="Impact Value&#10; (1-5)"/>
    <tableColumn id="9" name="Likelihood Value&#10; (1-5)"/>
    <tableColumn id="10" name="Inherent   Risk Value "/>
    <tableColumn id="11" name="Current &#10;controls"/>
    <tableColumn id="12" name="Control Effectiveness"/>
    <tableColumn id="13" name="Effectiveness rating "/>
    <tableColumn id="14" name="Residual Risk Value "/>
    <tableColumn id="15" name="Risk Appetite"/>
    <tableColumn id="16" name="Risk Tolerance"/>
    <tableColumn id="17" name="Suggested Risk Response"/>
    <tableColumn id="18" name="Risk &#10;Owner"/>
    <tableColumn id="19" name="Action to improve management of the risk"/>
    <tableColumn id="20" name="Action &#10;owner"/>
    <tableColumn id="21" name="Timeline"/>
  </tableColumns>
</table>
</file>

<file path=xl/tables/table2.xml><?xml version="1.0" encoding="utf-8"?>
<table xmlns="http://schemas.openxmlformats.org/spreadsheetml/2006/main" id="2" name="Table13" displayName="Table13" ref="A9:U16" headerRowCount="1" totalsRowCount="0" totalsRowShown="0">
  <autoFilter ref="A9:U16"/>
  <tableColumns count="21">
    <tableColumn id="1" name="Link to&#10;Outcome "/>
    <tableColumn id="2" name="Risk &#10;number "/>
    <tableColumn id="3" name="Unit"/>
    <tableColumn id="4" name="Risk&#10; Category"/>
    <tableColumn id="5" name="Risk Description "/>
    <tableColumn id="6" name="Risk Causes "/>
    <tableColumn id="7" name="Consequences"/>
    <tableColumn id="8" name="Impact Value&#10; (1-5)"/>
    <tableColumn id="9" name="Likelihood Value&#10; (1-5)"/>
    <tableColumn id="10" name="Inherent   Risk Value "/>
    <tableColumn id="11" name="Current &#10;controls"/>
    <tableColumn id="12" name="Control Effectiveness"/>
    <tableColumn id="13" name="Effectiveness rating "/>
    <tableColumn id="14" name="Residual Risk Value "/>
    <tableColumn id="15" name="Risk Appetite"/>
    <tableColumn id="16" name="Risk Tolerance"/>
    <tableColumn id="17" name="Suggested Risk Response"/>
    <tableColumn id="18" name="Risk &#10;Owner"/>
    <tableColumn id="19" name="Action to improve management of the risk"/>
    <tableColumn id="20" name="Action &#10;owner"/>
    <tableColumn id="21" name="Timeline"/>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10.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5:U52"/>
  <sheetViews>
    <sheetView showFormulas="false" showGridLines="true" showRowColHeaders="true" showZeros="true" rightToLeft="false" tabSelected="false" showOutlineSymbols="true" defaultGridColor="true" view="normal" topLeftCell="A9" colorId="64" zoomScale="95" zoomScaleNormal="95" zoomScalePageLayoutView="100" workbookViewId="0">
      <pane xSplit="0" ySplit="1" topLeftCell="A10" activePane="bottomLeft" state="frozen"/>
      <selection pane="topLeft" activeCell="A9" activeCellId="0" sqref="A9"/>
      <selection pane="bottomLeft" activeCell="C31" activeCellId="0" sqref="C31"/>
    </sheetView>
  </sheetViews>
  <sheetFormatPr defaultColWidth="30.00390625" defaultRowHeight="15" zeroHeight="false" outlineLevelRow="0" outlineLevelCol="0"/>
  <cols>
    <col collapsed="false" customWidth="true" hidden="false" outlineLevel="0" max="1" min="1" style="1" width="15"/>
    <col collapsed="false" customWidth="true" hidden="false" outlineLevel="0" max="2" min="2" style="2" width="15.71"/>
    <col collapsed="false" customWidth="true" hidden="false" outlineLevel="0" max="3" min="3" style="2" width="17.57"/>
    <col collapsed="false" customWidth="true" hidden="false" outlineLevel="0" max="4" min="4" style="1" width="16"/>
    <col collapsed="false" customWidth="true" hidden="false" outlineLevel="0" max="5" min="5" style="1" width="23.29"/>
    <col collapsed="false" customWidth="true" hidden="false" outlineLevel="0" max="6" min="6" style="1" width="32.86"/>
    <col collapsed="false" customWidth="true" hidden="false" outlineLevel="0" max="7" min="7" style="1" width="29"/>
    <col collapsed="false" customWidth="true" hidden="false" outlineLevel="0" max="8" min="8" style="1" width="7.86"/>
    <col collapsed="false" customWidth="true" hidden="false" outlineLevel="0" max="9" min="9" style="1" width="9.14"/>
    <col collapsed="false" customWidth="true" hidden="false" outlineLevel="0" max="10" min="10" style="1" width="10.71"/>
    <col collapsed="false" customWidth="true" hidden="false" outlineLevel="0" max="11" min="11" style="1" width="36.71"/>
    <col collapsed="false" customWidth="true" hidden="false" outlineLevel="0" max="12" min="12" style="1" width="7.86"/>
    <col collapsed="false" customWidth="true" hidden="false" outlineLevel="0" max="13" min="13" style="1" width="8.42"/>
    <col collapsed="false" customWidth="true" hidden="false" outlineLevel="0" max="14" min="14" style="1" width="10"/>
    <col collapsed="false" customWidth="true" hidden="false" outlineLevel="0" max="15" min="15" style="1" width="6"/>
    <col collapsed="false" customWidth="true" hidden="false" outlineLevel="0" max="16" min="16" style="1" width="6.29"/>
    <col collapsed="false" customWidth="true" hidden="false" outlineLevel="0" max="17" min="17" style="1" width="6.43"/>
    <col collapsed="false" customWidth="true" hidden="false" outlineLevel="0" max="18" min="18" style="1" width="16.57"/>
    <col collapsed="false" customWidth="true" hidden="false" outlineLevel="0" max="19" min="19" style="1" width="43.71"/>
    <col collapsed="false" customWidth="true" hidden="false" outlineLevel="0" max="20" min="20" style="1" width="18.29"/>
    <col collapsed="false" customWidth="true" hidden="false" outlineLevel="0" max="21" min="21" style="1" width="15.85"/>
    <col collapsed="false" customWidth="false" hidden="false" outlineLevel="0" max="16384" min="22" style="1" width="30"/>
  </cols>
  <sheetData>
    <row r="5" customFormat="false" ht="15" hidden="false" customHeight="false" outlineLevel="0" collapsed="false">
      <c r="B5" s="3" t="s">
        <v>0</v>
      </c>
      <c r="C5" s="3"/>
      <c r="D5" s="4"/>
      <c r="E5" s="5"/>
      <c r="H5" s="6"/>
    </row>
    <row r="6" customFormat="false" ht="13.5" hidden="false" customHeight="true" outlineLevel="0" collapsed="false"/>
    <row r="7" customFormat="false" ht="13.5" hidden="false" customHeight="true" outlineLevel="0" collapsed="false"/>
    <row r="8" customFormat="false" ht="13.5" hidden="false" customHeight="true" outlineLevel="0" collapsed="false">
      <c r="U8" s="7"/>
    </row>
    <row r="9" s="15" customFormat="true" ht="59.25" hidden="false" customHeight="true" outlineLevel="0" collapsed="false">
      <c r="A9" s="8" t="s">
        <v>1</v>
      </c>
      <c r="B9" s="8" t="s">
        <v>2</v>
      </c>
      <c r="C9" s="8" t="s">
        <v>3</v>
      </c>
      <c r="D9" s="8" t="s">
        <v>4</v>
      </c>
      <c r="E9" s="8" t="s">
        <v>5</v>
      </c>
      <c r="F9" s="9" t="s">
        <v>6</v>
      </c>
      <c r="G9" s="10" t="s">
        <v>7</v>
      </c>
      <c r="H9" s="11" t="s">
        <v>8</v>
      </c>
      <c r="I9" s="11" t="s">
        <v>9</v>
      </c>
      <c r="J9" s="8" t="s">
        <v>10</v>
      </c>
      <c r="K9" s="8" t="s">
        <v>11</v>
      </c>
      <c r="L9" s="12" t="s">
        <v>12</v>
      </c>
      <c r="M9" s="12" t="s">
        <v>13</v>
      </c>
      <c r="N9" s="8" t="s">
        <v>14</v>
      </c>
      <c r="O9" s="11" t="s">
        <v>15</v>
      </c>
      <c r="P9" s="12" t="s">
        <v>16</v>
      </c>
      <c r="Q9" s="12" t="s">
        <v>17</v>
      </c>
      <c r="R9" s="8" t="s">
        <v>18</v>
      </c>
      <c r="S9" s="8" t="s">
        <v>19</v>
      </c>
      <c r="T9" s="13" t="s">
        <v>20</v>
      </c>
      <c r="U9" s="14" t="s">
        <v>21</v>
      </c>
    </row>
    <row r="10" s="26" customFormat="true" ht="232.5" hidden="false" customHeight="true" outlineLevel="0" collapsed="false">
      <c r="A10" s="16" t="s">
        <v>22</v>
      </c>
      <c r="B10" s="17" t="s">
        <v>23</v>
      </c>
      <c r="C10" s="17" t="s">
        <v>24</v>
      </c>
      <c r="D10" s="16" t="s">
        <v>25</v>
      </c>
      <c r="E10" s="18" t="s">
        <v>26</v>
      </c>
      <c r="F10" s="18" t="s">
        <v>27</v>
      </c>
      <c r="G10" s="18" t="s">
        <v>28</v>
      </c>
      <c r="H10" s="17" t="n">
        <v>4</v>
      </c>
      <c r="I10" s="17" t="n">
        <v>4</v>
      </c>
      <c r="J10" s="19" t="n">
        <f aca="false">H10*I10</f>
        <v>16</v>
      </c>
      <c r="K10" s="18" t="s">
        <v>29</v>
      </c>
      <c r="L10" s="20" t="s">
        <v>30</v>
      </c>
      <c r="M10" s="21" t="n">
        <f aca="false">IF(L10="very good", 0.2, IF(L10="good", 0.4, IF(L10="Satisfactory", 0.6, IF(L10="weak", 0.8, IF(L10="non existent", 1)))))</f>
        <v>0.6</v>
      </c>
      <c r="N10" s="22" t="n">
        <f aca="false">J10*M10</f>
        <v>9.6</v>
      </c>
      <c r="O10" s="23" t="str">
        <f aca="false">IF(N10&lt;=4,"Acceptable ",IF(N10&lt;=14,"Moderalety Acceptable","Unacceptable"))</f>
        <v>Moderalety Acceptable</v>
      </c>
      <c r="P10" s="23" t="str">
        <f aca="false">IF(N10&lt;=4,"Low Risk",IF(N10&lt;=14,"Medium Risk","High Risk"))</f>
        <v>Medium Risk</v>
      </c>
      <c r="Q10" s="23" t="str">
        <f aca="false">IF(P10="High Risk","Treatment",IF(P10="Medium Risk","Treatment","Tolerate"))</f>
        <v>Treatment</v>
      </c>
      <c r="R10" s="18" t="s">
        <v>31</v>
      </c>
      <c r="S10" s="24" t="s">
        <v>32</v>
      </c>
      <c r="T10" s="25" t="s">
        <v>33</v>
      </c>
      <c r="U10" s="24" t="s">
        <v>34</v>
      </c>
    </row>
    <row r="11" s="26" customFormat="true" ht="184.5" hidden="false" customHeight="true" outlineLevel="0" collapsed="false">
      <c r="A11" s="16" t="s">
        <v>22</v>
      </c>
      <c r="B11" s="27" t="s">
        <v>35</v>
      </c>
      <c r="C11" s="17" t="s">
        <v>24</v>
      </c>
      <c r="D11" s="16" t="s">
        <v>25</v>
      </c>
      <c r="E11" s="18" t="s">
        <v>36</v>
      </c>
      <c r="F11" s="18" t="s">
        <v>37</v>
      </c>
      <c r="G11" s="18" t="s">
        <v>38</v>
      </c>
      <c r="H11" s="27" t="n">
        <v>4</v>
      </c>
      <c r="I11" s="27" t="n">
        <v>4</v>
      </c>
      <c r="J11" s="19" t="n">
        <f aca="false">H11*I11</f>
        <v>16</v>
      </c>
      <c r="K11" s="18" t="s">
        <v>39</v>
      </c>
      <c r="L11" s="20" t="s">
        <v>40</v>
      </c>
      <c r="M11" s="21" t="n">
        <f aca="false">IF(L11="very good", 0.2, IF(L11="good", 0.4, IF(L11="Satisfactory", 0.6, IF(L11="weak", 0.8, IF(L11="non existent", 1)))))</f>
        <v>0.2</v>
      </c>
      <c r="N11" s="22" t="n">
        <f aca="false">J11*M11</f>
        <v>3.2</v>
      </c>
      <c r="O11" s="23" t="str">
        <f aca="false">IF(N11&lt;=4,"Acceptable ",IF(N11&lt;=14,"Moderalety Acceptable","Unacceptable"))</f>
        <v>Acceptable </v>
      </c>
      <c r="P11" s="23" t="str">
        <f aca="false">IF(N11&lt;=4,"Low Risk",IF(N11&lt;=14,"Medium Risk","High Risk"))</f>
        <v>Low Risk</v>
      </c>
      <c r="Q11" s="23" t="str">
        <f aca="false">IF(P11="High Risk","Treatment",IF(P11="Medium Risk","Treatment","Tolerate"))</f>
        <v>Tolerate</v>
      </c>
      <c r="R11" s="18" t="s">
        <v>41</v>
      </c>
      <c r="S11" s="18" t="s">
        <v>42</v>
      </c>
      <c r="T11" s="25" t="s">
        <v>43</v>
      </c>
      <c r="U11" s="18" t="s">
        <v>44</v>
      </c>
    </row>
    <row r="12" s="26" customFormat="true" ht="251.25" hidden="false" customHeight="true" outlineLevel="0" collapsed="false">
      <c r="A12" s="16" t="s">
        <v>22</v>
      </c>
      <c r="B12" s="27" t="s">
        <v>45</v>
      </c>
      <c r="C12" s="17" t="s">
        <v>24</v>
      </c>
      <c r="D12" s="16" t="s">
        <v>25</v>
      </c>
      <c r="E12" s="18" t="s">
        <v>46</v>
      </c>
      <c r="F12" s="18" t="s">
        <v>47</v>
      </c>
      <c r="G12" s="18" t="s">
        <v>48</v>
      </c>
      <c r="H12" s="27" t="n">
        <v>4</v>
      </c>
      <c r="I12" s="27" t="n">
        <v>2</v>
      </c>
      <c r="J12" s="19" t="n">
        <f aca="false">H12*I12</f>
        <v>8</v>
      </c>
      <c r="K12" s="18" t="s">
        <v>49</v>
      </c>
      <c r="L12" s="20" t="s">
        <v>50</v>
      </c>
      <c r="M12" s="21" t="n">
        <f aca="false">IF(L12="very good", 0.2, IF(L12="good", 0.4, IF(L12="Satisfactory", 0.6, IF(L12="weak", 0.8, IF(L12="non existent", 1)))))</f>
        <v>0.4</v>
      </c>
      <c r="N12" s="22" t="n">
        <f aca="false">J12*M12</f>
        <v>3.2</v>
      </c>
      <c r="O12" s="23" t="str">
        <f aca="false">IF(N12&lt;=4,"Acceptable ",IF(N12&lt;=14,"Moderalety Acceptable","Unacceptable"))</f>
        <v>Acceptable </v>
      </c>
      <c r="P12" s="23" t="str">
        <f aca="false">IF(N12&lt;=4,"Low Risk",IF(N12&lt;=14,"Medium Risk","High Risk"))</f>
        <v>Low Risk</v>
      </c>
      <c r="Q12" s="23" t="str">
        <f aca="false">IF(P12="High Risk","Treatment",IF(P12="Medium Risk","Treatment","Tolerate"))</f>
        <v>Tolerate</v>
      </c>
      <c r="R12" s="18" t="s">
        <v>51</v>
      </c>
      <c r="S12" s="18" t="s">
        <v>42</v>
      </c>
      <c r="T12" s="25"/>
      <c r="U12" s="18" t="s">
        <v>44</v>
      </c>
    </row>
    <row r="13" s="26" customFormat="true" ht="398.25" hidden="false" customHeight="true" outlineLevel="0" collapsed="false">
      <c r="A13" s="16" t="s">
        <v>22</v>
      </c>
      <c r="B13" s="17" t="s">
        <v>52</v>
      </c>
      <c r="C13" s="17" t="s">
        <v>24</v>
      </c>
      <c r="D13" s="16" t="s">
        <v>53</v>
      </c>
      <c r="E13" s="28" t="s">
        <v>54</v>
      </c>
      <c r="F13" s="28" t="s">
        <v>55</v>
      </c>
      <c r="G13" s="18" t="s">
        <v>56</v>
      </c>
      <c r="H13" s="17" t="n">
        <v>5</v>
      </c>
      <c r="I13" s="17" t="n">
        <v>5</v>
      </c>
      <c r="J13" s="19" t="n">
        <f aca="false">H13*I13</f>
        <v>25</v>
      </c>
      <c r="K13" s="18" t="s">
        <v>57</v>
      </c>
      <c r="L13" s="20" t="s">
        <v>30</v>
      </c>
      <c r="M13" s="21" t="n">
        <f aca="false">IF(L13="very good", 0.2, IF(L13="good", 0.4, IF(L13="Satisfactory", 0.6, IF(L13="weak", 0.8, IF(L13="non existent", 1)))))</f>
        <v>0.6</v>
      </c>
      <c r="N13" s="22" t="n">
        <f aca="false">J13*M13</f>
        <v>15</v>
      </c>
      <c r="O13" s="23" t="str">
        <f aca="false">IF(N13&lt;=4,"Acceptable ",IF(N13&lt;=14,"Moderalety Acceptable","Unacceptable"))</f>
        <v>Unacceptable</v>
      </c>
      <c r="P13" s="23" t="str">
        <f aca="false">IF(N13&lt;=4,"Low Risk",IF(N13&lt;=14,"Medium Risk","High Risk"))</f>
        <v>High Risk</v>
      </c>
      <c r="Q13" s="23" t="str">
        <f aca="false">IF(P13="High Risk","Treatment",IF(P13="Medium Risk","Treatment","Tolerate"))</f>
        <v>Treatment</v>
      </c>
      <c r="R13" s="18" t="s">
        <v>58</v>
      </c>
      <c r="S13" s="18" t="s">
        <v>59</v>
      </c>
      <c r="T13" s="25" t="s">
        <v>60</v>
      </c>
      <c r="U13" s="18" t="s">
        <v>61</v>
      </c>
    </row>
    <row r="14" s="26" customFormat="true" ht="183" hidden="false" customHeight="true" outlineLevel="0" collapsed="false">
      <c r="A14" s="16" t="s">
        <v>62</v>
      </c>
      <c r="B14" s="27" t="s">
        <v>63</v>
      </c>
      <c r="C14" s="17" t="s">
        <v>64</v>
      </c>
      <c r="D14" s="16" t="s">
        <v>65</v>
      </c>
      <c r="E14" s="18" t="s">
        <v>66</v>
      </c>
      <c r="F14" s="29" t="s">
        <v>67</v>
      </c>
      <c r="G14" s="29" t="s">
        <v>68</v>
      </c>
      <c r="H14" s="17" t="n">
        <v>4</v>
      </c>
      <c r="I14" s="17" t="n">
        <v>5</v>
      </c>
      <c r="J14" s="19" t="n">
        <f aca="false">H14*I14</f>
        <v>20</v>
      </c>
      <c r="K14" s="18" t="s">
        <v>69</v>
      </c>
      <c r="L14" s="20" t="s">
        <v>50</v>
      </c>
      <c r="M14" s="21" t="n">
        <f aca="false">IF(L14="very good", 0.2, IF(L14="good", 0.4, IF(L14="Satisfactory", 0.6, IF(L14="weak", 0.8, IF(L14="non existent", 1)))))</f>
        <v>0.4</v>
      </c>
      <c r="N14" s="22" t="n">
        <f aca="false">J14*M14</f>
        <v>8</v>
      </c>
      <c r="O14" s="23" t="str">
        <f aca="false">IF(N14&lt;=4,"Acceptable ",IF(N14&lt;=14,"Moderalety Acceptable","Unacceptable"))</f>
        <v>Moderalety Acceptable</v>
      </c>
      <c r="P14" s="23" t="str">
        <f aca="false">IF(N14&lt;=4,"Low Risk",IF(N14&lt;=14,"Medium Risk","High Risk"))</f>
        <v>Medium Risk</v>
      </c>
      <c r="Q14" s="23" t="str">
        <f aca="false">IF(P14="High Risk","Treatment",IF(P14="Medium Risk","Treatment","Tolerate"))</f>
        <v>Treatment</v>
      </c>
      <c r="R14" s="18" t="s">
        <v>70</v>
      </c>
      <c r="S14" s="24" t="s">
        <v>71</v>
      </c>
      <c r="T14" s="25" t="s">
        <v>72</v>
      </c>
      <c r="U14" s="30" t="s">
        <v>73</v>
      </c>
    </row>
    <row r="15" s="26" customFormat="true" ht="199.5" hidden="false" customHeight="true" outlineLevel="0" collapsed="false">
      <c r="A15" s="16" t="s">
        <v>62</v>
      </c>
      <c r="B15" s="27" t="s">
        <v>74</v>
      </c>
      <c r="C15" s="17" t="s">
        <v>64</v>
      </c>
      <c r="D15" s="16" t="s">
        <v>65</v>
      </c>
      <c r="E15" s="18" t="s">
        <v>75</v>
      </c>
      <c r="F15" s="18" t="s">
        <v>76</v>
      </c>
      <c r="G15" s="18" t="s">
        <v>77</v>
      </c>
      <c r="H15" s="27" t="n">
        <v>4</v>
      </c>
      <c r="I15" s="27" t="n">
        <v>4</v>
      </c>
      <c r="J15" s="19" t="n">
        <f aca="false">H15*I15</f>
        <v>16</v>
      </c>
      <c r="K15" s="18" t="s">
        <v>78</v>
      </c>
      <c r="L15" s="20" t="s">
        <v>50</v>
      </c>
      <c r="M15" s="21" t="n">
        <f aca="false">IF(L15="very good", 0.2, IF(L15="good", 0.4, IF(L15="Satisfactory", 0.6, IF(L15="weak", 0.8, IF(L15="non existent", 1)))))</f>
        <v>0.4</v>
      </c>
      <c r="N15" s="22" t="n">
        <f aca="false">J15*M15</f>
        <v>6.4</v>
      </c>
      <c r="O15" s="23" t="str">
        <f aca="false">IF(N15&lt;=4,"Acceptable ",IF(N15&lt;=14,"Moderalety Acceptable","Unacceptable"))</f>
        <v>Moderalety Acceptable</v>
      </c>
      <c r="P15" s="23" t="str">
        <f aca="false">IF(N15&lt;=4,"Low Risk",IF(N15&lt;=14,"Medium Risk","High Risk"))</f>
        <v>Medium Risk</v>
      </c>
      <c r="Q15" s="23" t="str">
        <f aca="false">IF(P15="High Risk","Treatment",IF(P15="Medium Risk","Treatment","Tolerate"))</f>
        <v>Treatment</v>
      </c>
      <c r="R15" s="18" t="s">
        <v>70</v>
      </c>
      <c r="S15" s="18" t="s">
        <v>79</v>
      </c>
      <c r="T15" s="25" t="s">
        <v>80</v>
      </c>
      <c r="U15" s="30" t="s">
        <v>81</v>
      </c>
    </row>
    <row r="16" customFormat="false" ht="257.25" hidden="false" customHeight="true" outlineLevel="0" collapsed="false">
      <c r="A16" s="16" t="s">
        <v>62</v>
      </c>
      <c r="B16" s="27" t="s">
        <v>82</v>
      </c>
      <c r="C16" s="17" t="s">
        <v>64</v>
      </c>
      <c r="D16" s="16" t="s">
        <v>25</v>
      </c>
      <c r="E16" s="18" t="s">
        <v>83</v>
      </c>
      <c r="F16" s="29" t="s">
        <v>84</v>
      </c>
      <c r="G16" s="29" t="s">
        <v>85</v>
      </c>
      <c r="H16" s="17" t="n">
        <v>4</v>
      </c>
      <c r="I16" s="17" t="n">
        <v>5</v>
      </c>
      <c r="J16" s="19" t="n">
        <f aca="false">H16*I16</f>
        <v>20</v>
      </c>
      <c r="K16" s="18" t="s">
        <v>86</v>
      </c>
      <c r="L16" s="20" t="s">
        <v>87</v>
      </c>
      <c r="M16" s="21" t="n">
        <f aca="false">IF(L16="very good", 0.2, IF(L16="good", 0.4, IF(L16="Satisfactory", 0.6, IF(L16="weak", 0.8, IF(L16="non existent", 1)))))</f>
        <v>0.8</v>
      </c>
      <c r="N16" s="22" t="n">
        <f aca="false">J16*M16</f>
        <v>16</v>
      </c>
      <c r="O16" s="31" t="str">
        <f aca="false">IF(N16&lt;=4,"Acceptable ",IF(N16&lt;=14,"Moderalety Acceptable","Unacceptable"))</f>
        <v>Unacceptable</v>
      </c>
      <c r="P16" s="31" t="str">
        <f aca="false">IF(N16&lt;=4,"Low Risk",IF(N16&lt;=14,"Medium Risk","High Risk"))</f>
        <v>High Risk</v>
      </c>
      <c r="Q16" s="31" t="str">
        <f aca="false">IF(P16="High Risk","Treatment",IF(P16="Medium Risk","Treatment","Tolerate"))</f>
        <v>Treatment</v>
      </c>
      <c r="R16" s="18" t="s">
        <v>70</v>
      </c>
      <c r="S16" s="18" t="s">
        <v>88</v>
      </c>
      <c r="T16" s="32" t="s">
        <v>89</v>
      </c>
      <c r="U16" s="18" t="s">
        <v>90</v>
      </c>
    </row>
    <row r="17" customFormat="false" ht="222.75" hidden="false" customHeight="true" outlineLevel="0" collapsed="false">
      <c r="A17" s="16" t="s">
        <v>62</v>
      </c>
      <c r="B17" s="27" t="s">
        <v>91</v>
      </c>
      <c r="C17" s="17" t="s">
        <v>64</v>
      </c>
      <c r="D17" s="16" t="s">
        <v>25</v>
      </c>
      <c r="E17" s="18" t="s">
        <v>92</v>
      </c>
      <c r="F17" s="29" t="s">
        <v>93</v>
      </c>
      <c r="G17" s="29" t="s">
        <v>94</v>
      </c>
      <c r="H17" s="17" t="n">
        <v>3</v>
      </c>
      <c r="I17" s="17" t="n">
        <v>3</v>
      </c>
      <c r="J17" s="19" t="n">
        <f aca="false">H17*I17</f>
        <v>9</v>
      </c>
      <c r="K17" s="18" t="s">
        <v>95</v>
      </c>
      <c r="L17" s="20" t="s">
        <v>87</v>
      </c>
      <c r="M17" s="21" t="n">
        <f aca="false">IF(L17="very good", 0.2, IF(L17="good", 0.4, IF(L17="Satisfactory", 0.6, IF(L17="weak", 0.8, IF(L17="non existent", 1)))))</f>
        <v>0.8</v>
      </c>
      <c r="N17" s="22" t="n">
        <f aca="false">J17*M17</f>
        <v>7.2</v>
      </c>
      <c r="O17" s="31" t="str">
        <f aca="false">IF(N17&lt;=4,"Acceptable ",IF(N17&lt;=14,"Moderalety Acceptable","Unacceptable"))</f>
        <v>Moderalety Acceptable</v>
      </c>
      <c r="P17" s="31" t="str">
        <f aca="false">IF(N17&lt;=4,"Low Risk",IF(N17&lt;=14,"Medium Risk","High Risk"))</f>
        <v>Medium Risk</v>
      </c>
      <c r="Q17" s="31" t="str">
        <f aca="false">IF(P17="High Risk","Treatment",IF(P17="Medium Risk","Treatment","Tolerate"))</f>
        <v>Treatment</v>
      </c>
      <c r="R17" s="18" t="s">
        <v>70</v>
      </c>
      <c r="S17" s="18" t="s">
        <v>96</v>
      </c>
      <c r="T17" s="32" t="s">
        <v>89</v>
      </c>
      <c r="U17" s="18" t="s">
        <v>97</v>
      </c>
    </row>
    <row r="18" customFormat="false" ht="409.5" hidden="false" customHeight="true" outlineLevel="0" collapsed="false">
      <c r="A18" s="16" t="s">
        <v>62</v>
      </c>
      <c r="B18" s="27" t="s">
        <v>98</v>
      </c>
      <c r="C18" s="17" t="s">
        <v>64</v>
      </c>
      <c r="D18" s="16" t="s">
        <v>25</v>
      </c>
      <c r="E18" s="24" t="s">
        <v>99</v>
      </c>
      <c r="F18" s="29" t="s">
        <v>100</v>
      </c>
      <c r="G18" s="29" t="s">
        <v>101</v>
      </c>
      <c r="H18" s="17" t="n">
        <v>4</v>
      </c>
      <c r="I18" s="17" t="n">
        <v>4</v>
      </c>
      <c r="J18" s="19" t="n">
        <f aca="false">H18*I18</f>
        <v>16</v>
      </c>
      <c r="K18" s="24" t="s">
        <v>102</v>
      </c>
      <c r="L18" s="20" t="s">
        <v>30</v>
      </c>
      <c r="M18" s="21" t="n">
        <f aca="false">IF(L18="very good", 0.2, IF(L18="good", 0.4, IF(L18="Satisfactory", 0.6, IF(L18="weak", 0.8, IF(L18="non existent", 1)))))</f>
        <v>0.6</v>
      </c>
      <c r="N18" s="22" t="n">
        <f aca="false">J18*M18</f>
        <v>9.6</v>
      </c>
      <c r="O18" s="31" t="str">
        <f aca="false">IF(N18&lt;=4,"Acceptable ",IF(N18&lt;=14,"Moderalety Acceptable","Unacceptable"))</f>
        <v>Moderalety Acceptable</v>
      </c>
      <c r="P18" s="31" t="str">
        <f aca="false">IF(N18&lt;=4,"Low Risk",IF(N18&lt;=14,"Medium Risk","High Risk"))</f>
        <v>Medium Risk</v>
      </c>
      <c r="Q18" s="31" t="str">
        <f aca="false">IF(P18="High Risk","Treatment",IF(P18="Medium Risk","Treatment","Tolerate"))</f>
        <v>Treatment</v>
      </c>
      <c r="R18" s="18" t="s">
        <v>70</v>
      </c>
      <c r="S18" s="24" t="s">
        <v>103</v>
      </c>
      <c r="T18" s="32" t="s">
        <v>89</v>
      </c>
      <c r="U18" s="24" t="s">
        <v>104</v>
      </c>
    </row>
    <row r="19" customFormat="false" ht="372" hidden="false" customHeight="true" outlineLevel="0" collapsed="false">
      <c r="A19" s="16" t="s">
        <v>62</v>
      </c>
      <c r="B19" s="27" t="s">
        <v>105</v>
      </c>
      <c r="C19" s="17" t="s">
        <v>64</v>
      </c>
      <c r="D19" s="16" t="s">
        <v>25</v>
      </c>
      <c r="E19" s="24" t="s">
        <v>106</v>
      </c>
      <c r="F19" s="29" t="s">
        <v>107</v>
      </c>
      <c r="G19" s="29" t="s">
        <v>108</v>
      </c>
      <c r="H19" s="17" t="n">
        <v>4</v>
      </c>
      <c r="I19" s="17" t="n">
        <v>5</v>
      </c>
      <c r="J19" s="19" t="n">
        <f aca="false">H19*I19</f>
        <v>20</v>
      </c>
      <c r="K19" s="24" t="s">
        <v>109</v>
      </c>
      <c r="L19" s="20" t="s">
        <v>87</v>
      </c>
      <c r="M19" s="21" t="n">
        <f aca="false">IF(L19="very good", 0.2, IF(L19="good", 0.4, IF(L19="Satisfactory", 0.6, IF(L19="weak", 0.8, IF(L19="non existent", 1)))))</f>
        <v>0.8</v>
      </c>
      <c r="N19" s="22" t="n">
        <f aca="false">J19*M19</f>
        <v>16</v>
      </c>
      <c r="O19" s="31" t="str">
        <f aca="false">IF(N19&lt;=4,"Acceptable ",IF(N19&lt;=14,"Moderalety Acceptable","Unacceptable"))</f>
        <v>Unacceptable</v>
      </c>
      <c r="P19" s="31" t="str">
        <f aca="false">IF(N19&lt;=4,"Low Risk",IF(N19&lt;=14,"Medium Risk","High Risk"))</f>
        <v>High Risk</v>
      </c>
      <c r="Q19" s="31" t="str">
        <f aca="false">IF(P19="High Risk","Treatment",IF(P19="Medium Risk","Treatment","Tolerate"))</f>
        <v>Treatment</v>
      </c>
      <c r="R19" s="18" t="s">
        <v>70</v>
      </c>
      <c r="S19" s="24" t="s">
        <v>110</v>
      </c>
      <c r="T19" s="32" t="s">
        <v>89</v>
      </c>
      <c r="U19" s="24" t="s">
        <v>111</v>
      </c>
    </row>
    <row r="20" customFormat="false" ht="179.25" hidden="false" customHeight="true" outlineLevel="0" collapsed="false">
      <c r="A20" s="16" t="s">
        <v>62</v>
      </c>
      <c r="B20" s="27" t="s">
        <v>112</v>
      </c>
      <c r="C20" s="17" t="s">
        <v>64</v>
      </c>
      <c r="D20" s="16" t="s">
        <v>65</v>
      </c>
      <c r="E20" s="18" t="s">
        <v>113</v>
      </c>
      <c r="F20" s="18" t="s">
        <v>114</v>
      </c>
      <c r="G20" s="18" t="s">
        <v>115</v>
      </c>
      <c r="H20" s="17" t="n">
        <v>3</v>
      </c>
      <c r="I20" s="17" t="n">
        <v>3</v>
      </c>
      <c r="J20" s="19" t="n">
        <f aca="false">H20*I20</f>
        <v>9</v>
      </c>
      <c r="K20" s="18" t="s">
        <v>116</v>
      </c>
      <c r="L20" s="33" t="s">
        <v>50</v>
      </c>
      <c r="M20" s="21" t="n">
        <f aca="false">IF(L20="very good", 0.2, IF(L20="good", 0.4, IF(L20="Satisfactory", 0.6, IF(L20="weak", 0.8, IF(L20="non existent", 1)))))</f>
        <v>0.4</v>
      </c>
      <c r="N20" s="22" t="n">
        <f aca="false">J20*M20</f>
        <v>3.6</v>
      </c>
      <c r="O20" s="31" t="str">
        <f aca="false">IF(N20&lt;=4,"Acceptable ",IF(N20&lt;=14,"Moderalety Acceptable","Unacceptable"))</f>
        <v>Acceptable </v>
      </c>
      <c r="P20" s="31" t="str">
        <f aca="false">IF(N20&lt;=4,"Low Risk",IF(N20&lt;=14,"Medium Risk","High Risk"))</f>
        <v>Low Risk</v>
      </c>
      <c r="Q20" s="31" t="str">
        <f aca="false">IF(P20="High Risk","Treatment",IF(P20="Medium Risk","Treatment","Tolerate"))</f>
        <v>Tolerate</v>
      </c>
      <c r="R20" s="18" t="s">
        <v>70</v>
      </c>
      <c r="S20" s="18" t="s">
        <v>117</v>
      </c>
      <c r="T20" s="25" t="s">
        <v>72</v>
      </c>
      <c r="U20" s="18" t="s">
        <v>81</v>
      </c>
    </row>
    <row r="21" customFormat="false" ht="191.25" hidden="false" customHeight="true" outlineLevel="0" collapsed="false">
      <c r="A21" s="16" t="s">
        <v>118</v>
      </c>
      <c r="B21" s="17" t="s">
        <v>119</v>
      </c>
      <c r="C21" s="17" t="s">
        <v>120</v>
      </c>
      <c r="D21" s="16" t="s">
        <v>121</v>
      </c>
      <c r="E21" s="18" t="s">
        <v>122</v>
      </c>
      <c r="F21" s="29" t="s">
        <v>123</v>
      </c>
      <c r="G21" s="29" t="s">
        <v>124</v>
      </c>
      <c r="H21" s="17" t="n">
        <v>4</v>
      </c>
      <c r="I21" s="17" t="n">
        <v>5</v>
      </c>
      <c r="J21" s="19" t="n">
        <f aca="false">H21*I21</f>
        <v>20</v>
      </c>
      <c r="K21" s="18" t="s">
        <v>125</v>
      </c>
      <c r="L21" s="33" t="s">
        <v>50</v>
      </c>
      <c r="M21" s="21" t="n">
        <f aca="false">IF(L21="very good", 0.2, IF(L21="good", 0.4, IF(L21="Satisfactory", 0.6, IF(L21="weak", 0.8, IF(L21="non existent", 1)))))</f>
        <v>0.4</v>
      </c>
      <c r="N21" s="22" t="n">
        <f aca="false">J21*M21</f>
        <v>8</v>
      </c>
      <c r="O21" s="31" t="str">
        <f aca="false">IF(N21&lt;=4,"Acceptable ",IF(N21&lt;=14,"Moderalety Acceptable","Unacceptable"))</f>
        <v>Moderalety Acceptable</v>
      </c>
      <c r="P21" s="31" t="str">
        <f aca="false">IF(N21&lt;=4,"Low Risk",IF(N21&lt;=14,"Medium Risk","High Risk"))</f>
        <v>Medium Risk</v>
      </c>
      <c r="Q21" s="31" t="str">
        <f aca="false">IF(P21="High Risk","Treatment",IF(P21="Medium Risk","Treatment","Tolerate"))</f>
        <v>Treatment</v>
      </c>
      <c r="R21" s="18" t="s">
        <v>126</v>
      </c>
      <c r="S21" s="18" t="s">
        <v>127</v>
      </c>
      <c r="T21" s="25" t="s">
        <v>128</v>
      </c>
      <c r="U21" s="18" t="s">
        <v>81</v>
      </c>
    </row>
    <row r="22" customFormat="false" ht="186.75" hidden="false" customHeight="true" outlineLevel="0" collapsed="false">
      <c r="A22" s="16" t="s">
        <v>118</v>
      </c>
      <c r="B22" s="17" t="s">
        <v>129</v>
      </c>
      <c r="C22" s="17" t="s">
        <v>120</v>
      </c>
      <c r="D22" s="16" t="s">
        <v>121</v>
      </c>
      <c r="E22" s="18" t="s">
        <v>130</v>
      </c>
      <c r="F22" s="29" t="s">
        <v>131</v>
      </c>
      <c r="G22" s="29" t="s">
        <v>132</v>
      </c>
      <c r="H22" s="17" t="n">
        <v>4</v>
      </c>
      <c r="I22" s="17" t="n">
        <v>5</v>
      </c>
      <c r="J22" s="19" t="n">
        <f aca="false">H22*I22</f>
        <v>20</v>
      </c>
      <c r="K22" s="18" t="s">
        <v>133</v>
      </c>
      <c r="L22" s="33" t="s">
        <v>30</v>
      </c>
      <c r="M22" s="21" t="n">
        <f aca="false">IF(L22="very good", 0.2, IF(L22="good", 0.4, IF(L22="Satisfactory", 0.6, IF(L22="weak", 0.8, IF(L22="non existent", 1)))))</f>
        <v>0.6</v>
      </c>
      <c r="N22" s="22" t="n">
        <f aca="false">J22*M22</f>
        <v>12</v>
      </c>
      <c r="O22" s="31" t="str">
        <f aca="false">IF(N22&lt;=4,"Acceptable ",IF(N22&lt;=14,"Moderalety Acceptable","Unacceptable"))</f>
        <v>Moderalety Acceptable</v>
      </c>
      <c r="P22" s="31" t="str">
        <f aca="false">IF(N22&lt;=4,"Low Risk",IF(N22&lt;=14,"Medium Risk","High Risk"))</f>
        <v>Medium Risk</v>
      </c>
      <c r="Q22" s="31" t="str">
        <f aca="false">IF(P22="High Risk","Treatment",IF(P22="Medium Risk","Treatment","Tolerate"))</f>
        <v>Treatment</v>
      </c>
      <c r="R22" s="18" t="s">
        <v>126</v>
      </c>
      <c r="S22" s="18" t="s">
        <v>134</v>
      </c>
      <c r="T22" s="25" t="s">
        <v>128</v>
      </c>
      <c r="U22" s="18" t="s">
        <v>135</v>
      </c>
    </row>
    <row r="23" customFormat="false" ht="230.25" hidden="false" customHeight="true" outlineLevel="0" collapsed="false">
      <c r="A23" s="16" t="s">
        <v>118</v>
      </c>
      <c r="B23" s="17" t="s">
        <v>136</v>
      </c>
      <c r="C23" s="17" t="s">
        <v>120</v>
      </c>
      <c r="D23" s="16" t="s">
        <v>65</v>
      </c>
      <c r="E23" s="24" t="s">
        <v>137</v>
      </c>
      <c r="F23" s="18" t="s">
        <v>138</v>
      </c>
      <c r="G23" s="29" t="s">
        <v>139</v>
      </c>
      <c r="H23" s="17" t="n">
        <v>4</v>
      </c>
      <c r="I23" s="17" t="n">
        <v>4</v>
      </c>
      <c r="J23" s="19" t="n">
        <f aca="false">H23*I23</f>
        <v>16</v>
      </c>
      <c r="K23" s="18" t="s">
        <v>140</v>
      </c>
      <c r="L23" s="33" t="s">
        <v>30</v>
      </c>
      <c r="M23" s="21" t="n">
        <f aca="false">IF(L23="very good", 0.2, IF(L23="good", 0.4, IF(L23="Satisfactory", 0.6, IF(L23="weak", 0.8, IF(L23="non existent", 1)))))</f>
        <v>0.6</v>
      </c>
      <c r="N23" s="22" t="n">
        <f aca="false">J23*M23</f>
        <v>9.6</v>
      </c>
      <c r="O23" s="31" t="str">
        <f aca="false">IF(N23&lt;=4,"Acceptable ",IF(N23&lt;=14,"Moderalety Acceptable","Unacceptable"))</f>
        <v>Moderalety Acceptable</v>
      </c>
      <c r="P23" s="31" t="str">
        <f aca="false">IF(N23&lt;=4,"Low Risk",IF(N23&lt;=14,"Medium Risk","High Risk"))</f>
        <v>Medium Risk</v>
      </c>
      <c r="Q23" s="31" t="str">
        <f aca="false">IF(P23="High Risk","Treatment",IF(P23="Medium Risk","Treatment","Tolerate"))</f>
        <v>Treatment</v>
      </c>
      <c r="R23" s="18" t="s">
        <v>126</v>
      </c>
      <c r="S23" s="24" t="s">
        <v>141</v>
      </c>
      <c r="T23" s="25" t="s">
        <v>142</v>
      </c>
      <c r="U23" s="18" t="s">
        <v>143</v>
      </c>
    </row>
    <row r="24" s="26" customFormat="true" ht="195" hidden="false" customHeight="true" outlineLevel="0" collapsed="false">
      <c r="A24" s="16" t="s">
        <v>144</v>
      </c>
      <c r="B24" s="17" t="s">
        <v>145</v>
      </c>
      <c r="C24" s="17" t="s">
        <v>146</v>
      </c>
      <c r="D24" s="16" t="s">
        <v>65</v>
      </c>
      <c r="E24" s="18" t="s">
        <v>147</v>
      </c>
      <c r="F24" s="18" t="s">
        <v>148</v>
      </c>
      <c r="G24" s="18" t="s">
        <v>149</v>
      </c>
      <c r="H24" s="17" t="n">
        <v>5</v>
      </c>
      <c r="I24" s="17" t="n">
        <v>5</v>
      </c>
      <c r="J24" s="19" t="n">
        <f aca="false">H24*I24</f>
        <v>25</v>
      </c>
      <c r="K24" s="29" t="s">
        <v>150</v>
      </c>
      <c r="L24" s="33" t="s">
        <v>30</v>
      </c>
      <c r="M24" s="21" t="n">
        <f aca="false">IF(L24="very good", 0.2, IF(L24="good", 0.4, IF(L24="Satisfactory", 0.6, IF(L24="weak", 0.8, IF(L24="non existent", 1)))))</f>
        <v>0.6</v>
      </c>
      <c r="N24" s="22" t="n">
        <f aca="false">J24*M24</f>
        <v>15</v>
      </c>
      <c r="O24" s="23" t="str">
        <f aca="false">IF(N24&lt;=4,"Acceptable ",IF(N24&lt;=14,"Moderalety Acceptable","Unacceptable"))</f>
        <v>Unacceptable</v>
      </c>
      <c r="P24" s="23" t="str">
        <f aca="false">IF(N24&lt;=4,"Low Risk",IF(N24&lt;=14,"Medium Risk","High Risk"))</f>
        <v>High Risk</v>
      </c>
      <c r="Q24" s="23" t="str">
        <f aca="false">IF(P24="High Risk","Treatment",IF(P24="Medium Risk","Treatment","Tolerate"))</f>
        <v>Treatment</v>
      </c>
      <c r="R24" s="18" t="s">
        <v>151</v>
      </c>
      <c r="S24" s="24" t="s">
        <v>152</v>
      </c>
      <c r="T24" s="18" t="s">
        <v>153</v>
      </c>
      <c r="U24" s="18" t="s">
        <v>154</v>
      </c>
    </row>
    <row r="25" s="26" customFormat="true" ht="216" hidden="false" customHeight="true" outlineLevel="0" collapsed="false">
      <c r="A25" s="16" t="s">
        <v>155</v>
      </c>
      <c r="B25" s="17" t="s">
        <v>156</v>
      </c>
      <c r="C25" s="17" t="s">
        <v>146</v>
      </c>
      <c r="D25" s="16" t="s">
        <v>65</v>
      </c>
      <c r="E25" s="18" t="s">
        <v>157</v>
      </c>
      <c r="F25" s="29" t="s">
        <v>158</v>
      </c>
      <c r="G25" s="29" t="s">
        <v>159</v>
      </c>
      <c r="H25" s="17" t="n">
        <v>5</v>
      </c>
      <c r="I25" s="17" t="n">
        <v>4</v>
      </c>
      <c r="J25" s="19" t="n">
        <f aca="false">H25*I25</f>
        <v>20</v>
      </c>
      <c r="K25" s="24" t="s">
        <v>160</v>
      </c>
      <c r="L25" s="33" t="s">
        <v>30</v>
      </c>
      <c r="M25" s="21" t="n">
        <f aca="false">IF(L25="very good", 0.2, IF(L25="good", 0.4, IF(L25="Satisfactory", 0.6, IF(L25="weak", 0.8, IF(L25="non existent", 1)))))</f>
        <v>0.6</v>
      </c>
      <c r="N25" s="22" t="n">
        <f aca="false">J25*M25</f>
        <v>12</v>
      </c>
      <c r="O25" s="31" t="str">
        <f aca="false">IF(N25&lt;=4,"Acceptable ",IF(N25&lt;=14,"Moderalety Acceptable","Unacceptable"))</f>
        <v>Moderalety Acceptable</v>
      </c>
      <c r="P25" s="31" t="str">
        <f aca="false">IF(N25&lt;=4,"Low Risk",IF(N25&lt;=14,"Medium Risk","High Risk"))</f>
        <v>Medium Risk</v>
      </c>
      <c r="Q25" s="31" t="str">
        <f aca="false">IF(P25="High Risk","Treatment",IF(P25="Medium Risk","Treatment","Tolerate"))</f>
        <v>Treatment</v>
      </c>
      <c r="R25" s="24" t="s">
        <v>161</v>
      </c>
      <c r="S25" s="18" t="s">
        <v>162</v>
      </c>
      <c r="T25" s="34" t="s">
        <v>163</v>
      </c>
      <c r="U25" s="35" t="s">
        <v>164</v>
      </c>
    </row>
    <row r="26" s="26" customFormat="true" ht="204.75" hidden="false" customHeight="true" outlineLevel="0" collapsed="false">
      <c r="A26" s="16" t="s">
        <v>155</v>
      </c>
      <c r="B26" s="17" t="s">
        <v>165</v>
      </c>
      <c r="C26" s="17" t="s">
        <v>146</v>
      </c>
      <c r="D26" s="16" t="s">
        <v>65</v>
      </c>
      <c r="E26" s="24" t="s">
        <v>166</v>
      </c>
      <c r="F26" s="29" t="s">
        <v>167</v>
      </c>
      <c r="G26" s="29" t="s">
        <v>168</v>
      </c>
      <c r="H26" s="17" t="n">
        <v>5</v>
      </c>
      <c r="I26" s="17" t="n">
        <v>5</v>
      </c>
      <c r="J26" s="19" t="n">
        <f aca="false">H26*I26</f>
        <v>25</v>
      </c>
      <c r="K26" s="24" t="s">
        <v>169</v>
      </c>
      <c r="L26" s="20" t="s">
        <v>30</v>
      </c>
      <c r="M26" s="21" t="n">
        <f aca="false">IF(L26="very good", 0.2, IF(L26="good", 0.4, IF(L26="Satisfactory", 0.6, IF(L26="weak", 0.8, IF(L26="non existent", 1)))))</f>
        <v>0.6</v>
      </c>
      <c r="N26" s="22" t="n">
        <f aca="false">J26*M26</f>
        <v>15</v>
      </c>
      <c r="O26" s="23" t="str">
        <f aca="false">IF(N26&lt;=4,"Acceptable ",IF(N26&lt;=14,"Moderalety Acceptable","Unacceptable"))</f>
        <v>Unacceptable</v>
      </c>
      <c r="P26" s="23" t="str">
        <f aca="false">IF(N26&lt;=4,"Low Risk",IF(N26&lt;=14,"Medium Risk","High Risk"))</f>
        <v>High Risk</v>
      </c>
      <c r="Q26" s="23" t="str">
        <f aca="false">IF(P26="High Risk","Treatment",IF(P26="Medium Risk","Treatment","Tolerate"))</f>
        <v>Treatment</v>
      </c>
      <c r="R26" s="24" t="s">
        <v>161</v>
      </c>
      <c r="S26" s="24" t="s">
        <v>170</v>
      </c>
      <c r="T26" s="34" t="s">
        <v>171</v>
      </c>
      <c r="U26" s="35" t="s">
        <v>172</v>
      </c>
    </row>
    <row r="27" s="26" customFormat="true" ht="189" hidden="false" customHeight="true" outlineLevel="0" collapsed="false">
      <c r="A27" s="24" t="s">
        <v>155</v>
      </c>
      <c r="B27" s="17" t="s">
        <v>173</v>
      </c>
      <c r="C27" s="17" t="s">
        <v>146</v>
      </c>
      <c r="D27" s="16" t="s">
        <v>174</v>
      </c>
      <c r="E27" s="36" t="s">
        <v>175</v>
      </c>
      <c r="F27" s="36" t="s">
        <v>176</v>
      </c>
      <c r="G27" s="36" t="s">
        <v>177</v>
      </c>
      <c r="H27" s="37" t="n">
        <v>3</v>
      </c>
      <c r="I27" s="37" t="n">
        <v>3</v>
      </c>
      <c r="J27" s="19" t="n">
        <f aca="false">H27*I27</f>
        <v>9</v>
      </c>
      <c r="K27" s="36" t="s">
        <v>178</v>
      </c>
      <c r="L27" s="20" t="s">
        <v>50</v>
      </c>
      <c r="M27" s="21" t="n">
        <f aca="false">IF(L27="very good", 0.2, IF(L27="good", 0.4, IF(L27="Satisfactory", 0.6, IF(L27="weak", 0.8, IF(L27="non existent", 1)))))</f>
        <v>0.4</v>
      </c>
      <c r="N27" s="22" t="n">
        <f aca="false">J27*M27</f>
        <v>3.6</v>
      </c>
      <c r="O27" s="23" t="str">
        <f aca="false">IF(N27&lt;=4,"Acceptable ",IF(N27&lt;=14,"Moderalety Acceptable","Unacceptable"))</f>
        <v>Acceptable </v>
      </c>
      <c r="P27" s="23" t="str">
        <f aca="false">IF(N27&lt;=4,"Low Risk",IF(N27&lt;=14,"Medium Risk","High Risk"))</f>
        <v>Low Risk</v>
      </c>
      <c r="Q27" s="23" t="str">
        <f aca="false">IF(P27="High Risk","Treatment",IF(P27="Medium Risk","Treatment","Tolerate"))</f>
        <v>Tolerate</v>
      </c>
      <c r="R27" s="24" t="s">
        <v>161</v>
      </c>
      <c r="S27" s="36" t="s">
        <v>179</v>
      </c>
      <c r="T27" s="34" t="s">
        <v>171</v>
      </c>
      <c r="U27" s="38" t="s">
        <v>180</v>
      </c>
    </row>
    <row r="28" s="26" customFormat="true" ht="409.5" hidden="false" customHeight="true" outlineLevel="0" collapsed="false">
      <c r="A28" s="16" t="s">
        <v>22</v>
      </c>
      <c r="B28" s="17" t="s">
        <v>181</v>
      </c>
      <c r="C28" s="17" t="s">
        <v>182</v>
      </c>
      <c r="D28" s="16" t="s">
        <v>65</v>
      </c>
      <c r="E28" s="18" t="s">
        <v>183</v>
      </c>
      <c r="F28" s="18" t="s">
        <v>184</v>
      </c>
      <c r="G28" s="18" t="s">
        <v>185</v>
      </c>
      <c r="H28" s="27" t="n">
        <v>5</v>
      </c>
      <c r="I28" s="27" t="n">
        <v>4</v>
      </c>
      <c r="J28" s="22" t="n">
        <f aca="false">H28*I28</f>
        <v>20</v>
      </c>
      <c r="K28" s="18" t="s">
        <v>186</v>
      </c>
      <c r="L28" s="20" t="s">
        <v>30</v>
      </c>
      <c r="M28" s="21" t="n">
        <f aca="false">IF(L28="very good", 0.2, IF(L28="good", 0.4, IF(L28="Satisfactory", 0.6, IF(L28="weak", 0.8, IF(L28="non existent", 1)))))</f>
        <v>0.6</v>
      </c>
      <c r="N28" s="22" t="n">
        <f aca="false">J28*M28</f>
        <v>12</v>
      </c>
      <c r="O28" s="23" t="str">
        <f aca="false">IF(N28&lt;=4,"Acceptable ",IF(N28&lt;=14,"Moderalety Acceptable","Unacceptable"))</f>
        <v>Moderalety Acceptable</v>
      </c>
      <c r="P28" s="23" t="str">
        <f aca="false">IF(N28&lt;=4,"Low Risk",IF(N28&lt;=14,"Medium Risk","High Risk"))</f>
        <v>Medium Risk</v>
      </c>
      <c r="Q28" s="23" t="str">
        <f aca="false">IF(P28="High Risk","Treatment",IF(P28="Medium Risk","Treatment","Tolerate"))</f>
        <v>Treatment</v>
      </c>
      <c r="R28" s="18" t="s">
        <v>187</v>
      </c>
      <c r="S28" s="18" t="s">
        <v>188</v>
      </c>
      <c r="T28" s="18" t="s">
        <v>189</v>
      </c>
      <c r="U28" s="18" t="s">
        <v>190</v>
      </c>
    </row>
    <row r="29" s="26" customFormat="true" ht="342.75" hidden="false" customHeight="true" outlineLevel="0" collapsed="false">
      <c r="A29" s="16" t="s">
        <v>22</v>
      </c>
      <c r="B29" s="17" t="s">
        <v>191</v>
      </c>
      <c r="C29" s="17" t="s">
        <v>182</v>
      </c>
      <c r="D29" s="16" t="s">
        <v>192</v>
      </c>
      <c r="E29" s="18" t="s">
        <v>193</v>
      </c>
      <c r="F29" s="18" t="s">
        <v>194</v>
      </c>
      <c r="G29" s="18" t="s">
        <v>195</v>
      </c>
      <c r="H29" s="27" t="n">
        <v>4</v>
      </c>
      <c r="I29" s="27" t="n">
        <v>5</v>
      </c>
      <c r="J29" s="19" t="n">
        <f aca="false">H29*I29</f>
        <v>20</v>
      </c>
      <c r="K29" s="18" t="s">
        <v>196</v>
      </c>
      <c r="L29" s="20" t="s">
        <v>30</v>
      </c>
      <c r="M29" s="21" t="n">
        <f aca="false">IF(L29="very good", 0.2, IF(L29="good", 0.4, IF(L29="Satisfactory", 0.6, IF(L29="weak", 0.8, IF(L29="non existent", 1)))))</f>
        <v>0.6</v>
      </c>
      <c r="N29" s="22" t="n">
        <f aca="false">J29*M29</f>
        <v>12</v>
      </c>
      <c r="O29" s="23" t="str">
        <f aca="false">IF(N29&lt;=4,"Acceptable ",IF(N29&lt;=14,"Moderalety Acceptable","Unacceptable"))</f>
        <v>Moderalety Acceptable</v>
      </c>
      <c r="P29" s="23" t="str">
        <f aca="false">IF(N29&lt;=4,"Low Risk",IF(N29&lt;=14,"Medium Risk","High Risk"))</f>
        <v>Medium Risk</v>
      </c>
      <c r="Q29" s="23" t="str">
        <f aca="false">IF(P29="High Risk","Treatment",IF(P29="Medium Risk","Treatment","Tolerate"))</f>
        <v>Treatment</v>
      </c>
      <c r="R29" s="18" t="s">
        <v>187</v>
      </c>
      <c r="S29" s="18" t="s">
        <v>197</v>
      </c>
      <c r="T29" s="18" t="s">
        <v>198</v>
      </c>
      <c r="U29" s="24" t="s">
        <v>199</v>
      </c>
    </row>
    <row r="30" s="26" customFormat="true" ht="409.5" hidden="false" customHeight="true" outlineLevel="0" collapsed="false">
      <c r="A30" s="16" t="s">
        <v>22</v>
      </c>
      <c r="B30" s="17" t="s">
        <v>200</v>
      </c>
      <c r="C30" s="17" t="s">
        <v>182</v>
      </c>
      <c r="D30" s="16" t="s">
        <v>201</v>
      </c>
      <c r="E30" s="18" t="s">
        <v>202</v>
      </c>
      <c r="F30" s="18" t="s">
        <v>203</v>
      </c>
      <c r="G30" s="18" t="s">
        <v>204</v>
      </c>
      <c r="H30" s="27" t="n">
        <v>4</v>
      </c>
      <c r="I30" s="27" t="n">
        <v>5</v>
      </c>
      <c r="J30" s="19" t="n">
        <f aca="false">H30*I30</f>
        <v>20</v>
      </c>
      <c r="K30" s="18" t="s">
        <v>205</v>
      </c>
      <c r="L30" s="20" t="s">
        <v>30</v>
      </c>
      <c r="M30" s="21" t="n">
        <f aca="false">IF(L30="very good", 0.2, IF(L30="good", 0.4, IF(L30="Satisfactory", 0.6, IF(L30="weak", 0.8, IF(L30="non existent", 1)))))</f>
        <v>0.6</v>
      </c>
      <c r="N30" s="22" t="n">
        <f aca="false">J30*M30</f>
        <v>12</v>
      </c>
      <c r="O30" s="23" t="str">
        <f aca="false">IF(N30&lt;=4,"Acceptable ",IF(N30&lt;=14,"Moderalety Acceptable","Unacceptable"))</f>
        <v>Moderalety Acceptable</v>
      </c>
      <c r="P30" s="23" t="str">
        <f aca="false">IF(N30&lt;=4,"Low Risk",IF(N30&lt;=14,"Medium Risk","High Risk"))</f>
        <v>Medium Risk</v>
      </c>
      <c r="Q30" s="23" t="str">
        <f aca="false">IF(P30="High Risk","Treatment",IF(P30="Medium Risk","Treatment","Tolerate"))</f>
        <v>Treatment</v>
      </c>
      <c r="R30" s="18" t="s">
        <v>187</v>
      </c>
      <c r="S30" s="18" t="s">
        <v>206</v>
      </c>
      <c r="T30" s="18" t="s">
        <v>207</v>
      </c>
      <c r="U30" s="30" t="s">
        <v>208</v>
      </c>
    </row>
    <row r="31" s="26" customFormat="true" ht="255.75" hidden="false" customHeight="true" outlineLevel="0" collapsed="false">
      <c r="A31" s="16" t="s">
        <v>22</v>
      </c>
      <c r="B31" s="17" t="s">
        <v>209</v>
      </c>
      <c r="C31" s="17" t="s">
        <v>182</v>
      </c>
      <c r="D31" s="16" t="s">
        <v>25</v>
      </c>
      <c r="E31" s="18" t="s">
        <v>210</v>
      </c>
      <c r="F31" s="18" t="s">
        <v>211</v>
      </c>
      <c r="G31" s="18" t="s">
        <v>212</v>
      </c>
      <c r="H31" s="17" t="n">
        <v>4</v>
      </c>
      <c r="I31" s="17" t="n">
        <v>5</v>
      </c>
      <c r="J31" s="19" t="n">
        <f aca="false">H31*I31</f>
        <v>20</v>
      </c>
      <c r="K31" s="18" t="s">
        <v>213</v>
      </c>
      <c r="L31" s="20" t="s">
        <v>30</v>
      </c>
      <c r="M31" s="21" t="n">
        <f aca="false">IF(L31="very good", 0.2, IF(L31="good", 0.4, IF(L31="Satisfactory", 0.6, IF(L31="weak", 0.8, IF(L31="non existent", 1)))))</f>
        <v>0.6</v>
      </c>
      <c r="N31" s="22" t="n">
        <f aca="false">J31*M31</f>
        <v>12</v>
      </c>
      <c r="O31" s="23" t="str">
        <f aca="false">IF(N31&lt;=4,"Acceptable ",IF(N31&lt;=14,"Moderalety Acceptable","Unacceptable"))</f>
        <v>Moderalety Acceptable</v>
      </c>
      <c r="P31" s="23" t="str">
        <f aca="false">IF(N31&lt;=4,"Low Risk",IF(N31&lt;=14,"Medium Risk","High Risk"))</f>
        <v>Medium Risk</v>
      </c>
      <c r="Q31" s="23" t="str">
        <f aca="false">IF(P31="High Risk","Treatment",IF(P31="Medium Risk","Treatment","Tolerate"))</f>
        <v>Treatment</v>
      </c>
      <c r="R31" s="18" t="s">
        <v>187</v>
      </c>
      <c r="S31" s="28" t="s">
        <v>214</v>
      </c>
      <c r="T31" s="28" t="s">
        <v>215</v>
      </c>
      <c r="U31" s="39" t="s">
        <v>216</v>
      </c>
    </row>
    <row r="32" s="26" customFormat="true" ht="255" hidden="false" customHeight="true" outlineLevel="0" collapsed="false">
      <c r="A32" s="16" t="s">
        <v>22</v>
      </c>
      <c r="B32" s="17" t="s">
        <v>217</v>
      </c>
      <c r="C32" s="17" t="s">
        <v>182</v>
      </c>
      <c r="D32" s="16" t="s">
        <v>218</v>
      </c>
      <c r="E32" s="18" t="s">
        <v>219</v>
      </c>
      <c r="F32" s="18" t="s">
        <v>220</v>
      </c>
      <c r="G32" s="18" t="s">
        <v>221</v>
      </c>
      <c r="H32" s="40" t="n">
        <v>3</v>
      </c>
      <c r="I32" s="40" t="n">
        <v>3</v>
      </c>
      <c r="J32" s="19" t="n">
        <f aca="false">H32*I32</f>
        <v>9</v>
      </c>
      <c r="K32" s="41" t="s">
        <v>222</v>
      </c>
      <c r="L32" s="20" t="s">
        <v>50</v>
      </c>
      <c r="M32" s="21" t="n">
        <f aca="false">IF(L32="very good", 0.2, IF(L32="good", 0.4, IF(L32="Satisfactory", 0.6, IF(L32="weak", 0.8, IF(L32="non existent", 1)))))</f>
        <v>0.4</v>
      </c>
      <c r="N32" s="22" t="n">
        <f aca="false">J32*M32</f>
        <v>3.6</v>
      </c>
      <c r="O32" s="23" t="str">
        <f aca="false">IF(N32&lt;=4,"Acceptable ",IF(N32&lt;=14,"Moderalety Acceptable","Unacceptable"))</f>
        <v>Acceptable </v>
      </c>
      <c r="P32" s="23" t="str">
        <f aca="false">IF(N32&lt;=4,"Low Risk",IF(N32&lt;=14,"Medium Risk","High Risk"))</f>
        <v>Low Risk</v>
      </c>
      <c r="Q32" s="23" t="str">
        <f aca="false">IF(P32="High Risk","Treatment",IF(P32="Medium Risk","Treatment","Tolerate"))</f>
        <v>Tolerate</v>
      </c>
      <c r="R32" s="18" t="s">
        <v>187</v>
      </c>
      <c r="S32" s="18" t="s">
        <v>42</v>
      </c>
      <c r="T32" s="18" t="s">
        <v>215</v>
      </c>
      <c r="U32" s="30" t="s">
        <v>44</v>
      </c>
    </row>
    <row r="33" s="26" customFormat="true" ht="210" hidden="false" customHeight="true" outlineLevel="0" collapsed="false">
      <c r="A33" s="16" t="s">
        <v>22</v>
      </c>
      <c r="B33" s="17" t="s">
        <v>223</v>
      </c>
      <c r="C33" s="17" t="s">
        <v>182</v>
      </c>
      <c r="D33" s="16" t="s">
        <v>25</v>
      </c>
      <c r="E33" s="18" t="s">
        <v>224</v>
      </c>
      <c r="F33" s="18" t="s">
        <v>225</v>
      </c>
      <c r="G33" s="18" t="s">
        <v>226</v>
      </c>
      <c r="H33" s="17" t="n">
        <v>4</v>
      </c>
      <c r="I33" s="17" t="n">
        <v>4</v>
      </c>
      <c r="J33" s="19" t="n">
        <f aca="false">H33*I33</f>
        <v>16</v>
      </c>
      <c r="K33" s="18" t="s">
        <v>227</v>
      </c>
      <c r="L33" s="20" t="s">
        <v>50</v>
      </c>
      <c r="M33" s="21" t="n">
        <f aca="false">IF(L33="very good", 0.2, IF(L33="good", 0.4, IF(L33="Satisfactory", 0.6, IF(L33="weak", 0.8, IF(L33="non existent", 1)))))</f>
        <v>0.4</v>
      </c>
      <c r="N33" s="22" t="n">
        <f aca="false">J33*M33</f>
        <v>6.4</v>
      </c>
      <c r="O33" s="23" t="str">
        <f aca="false">IF(N33&lt;=4,"Acceptable ",IF(N33&lt;=14,"Moderalety Acceptable","Unacceptable"))</f>
        <v>Moderalety Acceptable</v>
      </c>
      <c r="P33" s="23" t="str">
        <f aca="false">IF(N33&lt;=4,"Low Risk",IF(N33&lt;=14,"Medium Risk","High Risk"))</f>
        <v>Medium Risk</v>
      </c>
      <c r="Q33" s="23" t="str">
        <f aca="false">IF(P33="High Risk","Treatment",IF(P33="Medium Risk","Treatment","Tolerate"))</f>
        <v>Treatment</v>
      </c>
      <c r="R33" s="18" t="s">
        <v>187</v>
      </c>
      <c r="S33" s="18" t="s">
        <v>228</v>
      </c>
      <c r="T33" s="18" t="s">
        <v>229</v>
      </c>
      <c r="U33" s="42" t="s">
        <v>230</v>
      </c>
    </row>
    <row r="34" s="26" customFormat="true" ht="182.25" hidden="false" customHeight="true" outlineLevel="0" collapsed="false">
      <c r="A34" s="16" t="s">
        <v>22</v>
      </c>
      <c r="B34" s="17" t="s">
        <v>231</v>
      </c>
      <c r="C34" s="17" t="s">
        <v>182</v>
      </c>
      <c r="D34" s="16" t="s">
        <v>25</v>
      </c>
      <c r="E34" s="18" t="s">
        <v>232</v>
      </c>
      <c r="F34" s="18" t="s">
        <v>233</v>
      </c>
      <c r="G34" s="18" t="s">
        <v>234</v>
      </c>
      <c r="H34" s="17" t="n">
        <v>5</v>
      </c>
      <c r="I34" s="17" t="n">
        <v>4</v>
      </c>
      <c r="J34" s="19" t="n">
        <f aca="false">H34*I34</f>
        <v>20</v>
      </c>
      <c r="K34" s="18" t="s">
        <v>235</v>
      </c>
      <c r="L34" s="20" t="s">
        <v>236</v>
      </c>
      <c r="M34" s="21" t="n">
        <f aca="false">IF(L34="very good", 0.2, IF(L34="good", 0.4, IF(L34="Satisfactory", 0.6, IF(L34="weak", 0.8, IF(L34="non existent", 1)))))</f>
        <v>0.8</v>
      </c>
      <c r="N34" s="22" t="n">
        <f aca="false">J34*M34</f>
        <v>16</v>
      </c>
      <c r="O34" s="23" t="str">
        <f aca="false">IF(N34&lt;=4,"Acceptable ",IF(N34&lt;=14,"Moderalety Acceptable","Unacceptable"))</f>
        <v>Unacceptable</v>
      </c>
      <c r="P34" s="23" t="str">
        <f aca="false">IF(N34&lt;=4,"Low Risk",IF(N34&lt;=14,"Medium Risk","High Risk"))</f>
        <v>High Risk</v>
      </c>
      <c r="Q34" s="23" t="str">
        <f aca="false">IF(P34="High Risk","Treatment",IF(P34="Medium Risk","Treatment","Tolerate"))</f>
        <v>Treatment</v>
      </c>
      <c r="R34" s="18" t="s">
        <v>187</v>
      </c>
      <c r="S34" s="18" t="s">
        <v>237</v>
      </c>
      <c r="T34" s="28" t="s">
        <v>238</v>
      </c>
      <c r="U34" s="43" t="s">
        <v>44</v>
      </c>
    </row>
    <row r="35" s="26" customFormat="true" ht="153.75" hidden="false" customHeight="true" outlineLevel="0" collapsed="false">
      <c r="A35" s="16" t="s">
        <v>22</v>
      </c>
      <c r="B35" s="17" t="s">
        <v>239</v>
      </c>
      <c r="C35" s="17" t="s">
        <v>182</v>
      </c>
      <c r="D35" s="16" t="s">
        <v>25</v>
      </c>
      <c r="E35" s="18" t="s">
        <v>240</v>
      </c>
      <c r="F35" s="18" t="s">
        <v>241</v>
      </c>
      <c r="G35" s="18" t="s">
        <v>242</v>
      </c>
      <c r="H35" s="17" t="n">
        <v>4</v>
      </c>
      <c r="I35" s="17" t="n">
        <v>4</v>
      </c>
      <c r="J35" s="19" t="n">
        <f aca="false">H35*I35</f>
        <v>16</v>
      </c>
      <c r="K35" s="18" t="s">
        <v>243</v>
      </c>
      <c r="L35" s="20" t="s">
        <v>30</v>
      </c>
      <c r="M35" s="21" t="n">
        <f aca="false">IF(L35="very good", 0.2, IF(L35="good", 0.4, IF(L35="Satisfactory", 0.6, IF(L35="weak", 0.8, IF(L35="non existent", 1)))))</f>
        <v>0.6</v>
      </c>
      <c r="N35" s="22" t="n">
        <f aca="false">J35*M35</f>
        <v>9.6</v>
      </c>
      <c r="O35" s="23" t="str">
        <f aca="false">IF(N35&lt;=4,"Acceptable ",IF(N35&lt;=14,"Moderalety Acceptable","Unacceptable"))</f>
        <v>Moderalety Acceptable</v>
      </c>
      <c r="P35" s="23" t="str">
        <f aca="false">IF(N35&lt;=4,"Low Risk",IF(N35&lt;=14,"Medium Risk","High Risk"))</f>
        <v>Medium Risk</v>
      </c>
      <c r="Q35" s="23" t="str">
        <f aca="false">IF(P35="High Risk","Treatment",IF(P35="Medium Risk","Treatment","Tolerate"))</f>
        <v>Treatment</v>
      </c>
      <c r="R35" s="18" t="s">
        <v>187</v>
      </c>
      <c r="S35" s="18" t="s">
        <v>244</v>
      </c>
      <c r="T35" s="18" t="s">
        <v>245</v>
      </c>
      <c r="U35" s="18" t="s">
        <v>246</v>
      </c>
    </row>
    <row r="36" customFormat="false" ht="285.75" hidden="false" customHeight="true" outlineLevel="0" collapsed="false">
      <c r="A36" s="16" t="s">
        <v>22</v>
      </c>
      <c r="B36" s="17" t="s">
        <v>247</v>
      </c>
      <c r="C36" s="17" t="s">
        <v>182</v>
      </c>
      <c r="D36" s="16" t="s">
        <v>218</v>
      </c>
      <c r="E36" s="18" t="s">
        <v>248</v>
      </c>
      <c r="F36" s="18" t="s">
        <v>249</v>
      </c>
      <c r="G36" s="18" t="s">
        <v>250</v>
      </c>
      <c r="H36" s="17" t="n">
        <v>5</v>
      </c>
      <c r="I36" s="17" t="n">
        <v>5</v>
      </c>
      <c r="J36" s="19" t="n">
        <f aca="false">H36*I36</f>
        <v>25</v>
      </c>
      <c r="K36" s="18" t="s">
        <v>251</v>
      </c>
      <c r="L36" s="20" t="s">
        <v>87</v>
      </c>
      <c r="M36" s="21" t="n">
        <f aca="false">IF(L36="very good", 0.2, IF(L36="good", 0.4, IF(L36="Satisfactory", 0.6, IF(L36="weak", 0.8, IF(L36="non existent", 1)))))</f>
        <v>0.8</v>
      </c>
      <c r="N36" s="22" t="n">
        <f aca="false">J36*M36</f>
        <v>20</v>
      </c>
      <c r="O36" s="31" t="str">
        <f aca="false">IF(N36&lt;=4,"Acceptable ",IF(N36&lt;=14,"Moderalety Acceptable","Unacceptable"))</f>
        <v>Unacceptable</v>
      </c>
      <c r="P36" s="31" t="str">
        <f aca="false">IF(N36&lt;=4,"Low Risk",IF(N36&lt;=14,"Medium Risk","High Risk"))</f>
        <v>High Risk</v>
      </c>
      <c r="Q36" s="31" t="str">
        <f aca="false">IF(P36="High Risk","Treatment",IF(P36="Medium Risk","Treatment","Tolerate"))</f>
        <v>Treatment</v>
      </c>
      <c r="R36" s="18" t="s">
        <v>187</v>
      </c>
      <c r="S36" s="18" t="s">
        <v>252</v>
      </c>
      <c r="T36" s="18" t="s">
        <v>238</v>
      </c>
      <c r="U36" s="18" t="s">
        <v>253</v>
      </c>
    </row>
    <row r="37" s="26" customFormat="true" ht="337.5" hidden="false" customHeight="true" outlineLevel="0" collapsed="false">
      <c r="A37" s="24" t="s">
        <v>254</v>
      </c>
      <c r="B37" s="17" t="s">
        <v>255</v>
      </c>
      <c r="C37" s="17" t="s">
        <v>256</v>
      </c>
      <c r="D37" s="16" t="s">
        <v>121</v>
      </c>
      <c r="E37" s="18" t="s">
        <v>257</v>
      </c>
      <c r="F37" s="29" t="s">
        <v>258</v>
      </c>
      <c r="G37" s="29" t="s">
        <v>259</v>
      </c>
      <c r="H37" s="17" t="n">
        <v>4</v>
      </c>
      <c r="I37" s="17" t="n">
        <v>5</v>
      </c>
      <c r="J37" s="19" t="n">
        <f aca="false">H37*I37</f>
        <v>20</v>
      </c>
      <c r="K37" s="18" t="s">
        <v>260</v>
      </c>
      <c r="L37" s="20" t="s">
        <v>50</v>
      </c>
      <c r="M37" s="21" t="n">
        <f aca="false">IF(L37="very good", 0.2, IF(L37="good", 0.4, IF(L37="Satisfactory", 0.6, IF(L37="weak", 0.8, IF(L37="non existent", 1)))))</f>
        <v>0.4</v>
      </c>
      <c r="N37" s="22" t="n">
        <f aca="false">J37*M37</f>
        <v>8</v>
      </c>
      <c r="O37" s="23" t="str">
        <f aca="false">IF(N37&lt;=4,"Acceptable ",IF(N37&lt;=14,"Moderalety Acceptable","Unacceptable"))</f>
        <v>Moderalety Acceptable</v>
      </c>
      <c r="P37" s="23" t="str">
        <f aca="false">IF(N37&lt;=4,"Low Risk",IF(N37&lt;=14,"Medium Risk","High Risk"))</f>
        <v>Medium Risk</v>
      </c>
      <c r="Q37" s="23" t="str">
        <f aca="false">IF(P37="High Risk","Treatment",IF(P37="Medium Risk","Treatment","Tolerate"))</f>
        <v>Treatment</v>
      </c>
      <c r="R37" s="18" t="s">
        <v>261</v>
      </c>
      <c r="S37" s="18" t="s">
        <v>262</v>
      </c>
      <c r="T37" s="25" t="s">
        <v>263</v>
      </c>
      <c r="U37" s="30" t="s">
        <v>264</v>
      </c>
    </row>
    <row r="38" s="44" customFormat="true" ht="259.5" hidden="false" customHeight="true" outlineLevel="0" collapsed="false">
      <c r="A38" s="24" t="s">
        <v>254</v>
      </c>
      <c r="B38" s="17" t="s">
        <v>265</v>
      </c>
      <c r="C38" s="17" t="s">
        <v>256</v>
      </c>
      <c r="D38" s="16" t="s">
        <v>65</v>
      </c>
      <c r="E38" s="18" t="s">
        <v>266</v>
      </c>
      <c r="F38" s="18" t="s">
        <v>267</v>
      </c>
      <c r="G38" s="18" t="s">
        <v>268</v>
      </c>
      <c r="H38" s="17" t="n">
        <v>4</v>
      </c>
      <c r="I38" s="17" t="n">
        <v>4</v>
      </c>
      <c r="J38" s="19" t="n">
        <f aca="false">H38*I38</f>
        <v>16</v>
      </c>
      <c r="K38" s="18" t="s">
        <v>269</v>
      </c>
      <c r="L38" s="20" t="s">
        <v>30</v>
      </c>
      <c r="M38" s="21" t="n">
        <f aca="false">IF(L38="very good", 0.2, IF(L38="good", 0.4, IF(L38="Satisfactory", 0.6, IF(L38="weak", 0.8, IF(L38="non existent", 1)))))</f>
        <v>0.6</v>
      </c>
      <c r="N38" s="22" t="n">
        <f aca="false">J38*M38</f>
        <v>9.6</v>
      </c>
      <c r="O38" s="23" t="str">
        <f aca="false">IF(N38&lt;=4,"Acceptable ",IF(N38&lt;=14,"Moderalety Acceptable","Unacceptable"))</f>
        <v>Moderalety Acceptable</v>
      </c>
      <c r="P38" s="23" t="str">
        <f aca="false">IF(N38&lt;=4,"Low Risk",IF(N38&lt;=14,"Medium Risk","High Risk"))</f>
        <v>Medium Risk</v>
      </c>
      <c r="Q38" s="23" t="str">
        <f aca="false">IF(P38="High Risk","Treatment",IF(P38="Medium Risk","Treatment","Tolerate"))</f>
        <v>Treatment</v>
      </c>
      <c r="R38" s="18" t="s">
        <v>261</v>
      </c>
      <c r="S38" s="24" t="s">
        <v>270</v>
      </c>
      <c r="T38" s="25" t="s">
        <v>271</v>
      </c>
      <c r="U38" s="30" t="s">
        <v>272</v>
      </c>
    </row>
    <row r="39" s="26" customFormat="true" ht="178.5" hidden="false" customHeight="true" outlineLevel="0" collapsed="false">
      <c r="A39" s="24" t="s">
        <v>254</v>
      </c>
      <c r="B39" s="17" t="s">
        <v>273</v>
      </c>
      <c r="C39" s="17" t="s">
        <v>256</v>
      </c>
      <c r="D39" s="16" t="s">
        <v>65</v>
      </c>
      <c r="E39" s="24" t="s">
        <v>274</v>
      </c>
      <c r="F39" s="29" t="s">
        <v>275</v>
      </c>
      <c r="G39" s="18" t="s">
        <v>276</v>
      </c>
      <c r="H39" s="17" t="n">
        <v>4</v>
      </c>
      <c r="I39" s="17" t="n">
        <v>4</v>
      </c>
      <c r="J39" s="19" t="n">
        <f aca="false">H39*I39</f>
        <v>16</v>
      </c>
      <c r="K39" s="18" t="s">
        <v>277</v>
      </c>
      <c r="L39" s="20" t="s">
        <v>50</v>
      </c>
      <c r="M39" s="21" t="n">
        <f aca="false">IF(L39="very good", 0.2, IF(L39="good", 0.4, IF(L39="Satisfactory", 0.6, IF(L39="weak", 0.8, IF(L39="non existent", 1)))))</f>
        <v>0.4</v>
      </c>
      <c r="N39" s="22" t="n">
        <f aca="false">J39*M39</f>
        <v>6.4</v>
      </c>
      <c r="O39" s="23" t="str">
        <f aca="false">IF(N39&lt;=4,"Acceptable ",IF(N39&lt;=14,"Moderalety Acceptable","Unacceptable"))</f>
        <v>Moderalety Acceptable</v>
      </c>
      <c r="P39" s="23" t="str">
        <f aca="false">IF(N39&lt;=4,"Low Risk",IF(N39&lt;=14,"Medium Risk","High Risk"))</f>
        <v>Medium Risk</v>
      </c>
      <c r="Q39" s="23" t="str">
        <f aca="false">IF(P39="High Risk","Treatment",IF(P39="Medium Risk","Treatment","Tolerate"))</f>
        <v>Treatment</v>
      </c>
      <c r="R39" s="18" t="s">
        <v>261</v>
      </c>
      <c r="S39" s="18" t="s">
        <v>278</v>
      </c>
      <c r="T39" s="25" t="s">
        <v>279</v>
      </c>
      <c r="U39" s="30" t="s">
        <v>280</v>
      </c>
    </row>
    <row r="40" s="44" customFormat="true" ht="279" hidden="false" customHeight="true" outlineLevel="0" collapsed="false">
      <c r="A40" s="24" t="s">
        <v>254</v>
      </c>
      <c r="B40" s="17" t="s">
        <v>281</v>
      </c>
      <c r="C40" s="17" t="s">
        <v>256</v>
      </c>
      <c r="D40" s="16" t="s">
        <v>65</v>
      </c>
      <c r="E40" s="18" t="s">
        <v>282</v>
      </c>
      <c r="F40" s="18" t="s">
        <v>283</v>
      </c>
      <c r="G40" s="18" t="s">
        <v>284</v>
      </c>
      <c r="H40" s="17" t="n">
        <v>4</v>
      </c>
      <c r="I40" s="17" t="n">
        <v>5</v>
      </c>
      <c r="J40" s="19" t="n">
        <f aca="false">H40*I40</f>
        <v>20</v>
      </c>
      <c r="K40" s="18" t="s">
        <v>285</v>
      </c>
      <c r="L40" s="20" t="s">
        <v>50</v>
      </c>
      <c r="M40" s="21" t="n">
        <f aca="false">IF(L40="very good", 0.2, IF(L40="good", 0.4, IF(L40="Satisfactory", 0.6, IF(L40="weak", 0.8, IF(L40="non existent", 1)))))</f>
        <v>0.4</v>
      </c>
      <c r="N40" s="22" t="n">
        <f aca="false">J40*M40</f>
        <v>8</v>
      </c>
      <c r="O40" s="23" t="str">
        <f aca="false">IF(N40&lt;=4,"Acceptable ",IF(N40&lt;=14,"Moderalety Acceptable","Unacceptable"))</f>
        <v>Moderalety Acceptable</v>
      </c>
      <c r="P40" s="23" t="str">
        <f aca="false">IF(N40&lt;=4,"Low Risk",IF(N40&lt;=14,"Medium Risk","High Risk"))</f>
        <v>Medium Risk</v>
      </c>
      <c r="Q40" s="23" t="str">
        <f aca="false">IF(P40="High Risk","Treatment",IF(P40="Medium Risk","Treatment","Tolerate"))</f>
        <v>Treatment</v>
      </c>
      <c r="R40" s="18" t="s">
        <v>261</v>
      </c>
      <c r="S40" s="24" t="s">
        <v>286</v>
      </c>
      <c r="T40" s="25" t="s">
        <v>279</v>
      </c>
      <c r="U40" s="24" t="s">
        <v>287</v>
      </c>
    </row>
    <row r="41" s="26" customFormat="true" ht="289.5" hidden="false" customHeight="true" outlineLevel="0" collapsed="false">
      <c r="A41" s="16" t="s">
        <v>62</v>
      </c>
      <c r="B41" s="27" t="s">
        <v>288</v>
      </c>
      <c r="C41" s="17" t="s">
        <v>289</v>
      </c>
      <c r="D41" s="16" t="s">
        <v>65</v>
      </c>
      <c r="E41" s="45" t="s">
        <v>290</v>
      </c>
      <c r="F41" s="45" t="s">
        <v>291</v>
      </c>
      <c r="G41" s="45" t="s">
        <v>292</v>
      </c>
      <c r="H41" s="17" t="n">
        <v>5</v>
      </c>
      <c r="I41" s="17" t="n">
        <v>5</v>
      </c>
      <c r="J41" s="19" t="n">
        <f aca="false">H41*I41</f>
        <v>25</v>
      </c>
      <c r="K41" s="46" t="s">
        <v>293</v>
      </c>
      <c r="L41" s="20" t="s">
        <v>30</v>
      </c>
      <c r="M41" s="21" t="n">
        <f aca="false">IF(L41="very good", 0.2, IF(L41="good", 0.4, IF(L41="Satisfactory", 0.6, IF(L41="weak", 0.8, IF(L41="non existent", 1)))))</f>
        <v>0.6</v>
      </c>
      <c r="N41" s="22" t="n">
        <f aca="false">J41*M41</f>
        <v>15</v>
      </c>
      <c r="O41" s="23" t="str">
        <f aca="false">IF(N41&lt;=4,"Acceptable ",IF(N41&lt;=14,"Moderalety Acceptable","Unacceptable"))</f>
        <v>Unacceptable</v>
      </c>
      <c r="P41" s="23" t="str">
        <f aca="false">IF(N41&lt;=4,"Low Risk",IF(N41&lt;=14,"Medium Risk","High Risk"))</f>
        <v>High Risk</v>
      </c>
      <c r="Q41" s="23" t="str">
        <f aca="false">IF(P41="High Risk","Treatment",IF(P41="Medium Risk","Treatment","Tolerate"))</f>
        <v>Treatment</v>
      </c>
      <c r="R41" s="29" t="s">
        <v>294</v>
      </c>
      <c r="S41" s="45" t="s">
        <v>295</v>
      </c>
      <c r="T41" s="45" t="s">
        <v>294</v>
      </c>
      <c r="U41" s="47" t="s">
        <v>296</v>
      </c>
    </row>
    <row r="42" s="26" customFormat="true" ht="409.5" hidden="false" customHeight="true" outlineLevel="0" collapsed="false">
      <c r="A42" s="16" t="s">
        <v>62</v>
      </c>
      <c r="B42" s="27" t="s">
        <v>297</v>
      </c>
      <c r="C42" s="17" t="s">
        <v>289</v>
      </c>
      <c r="D42" s="16" t="s">
        <v>218</v>
      </c>
      <c r="E42" s="45" t="s">
        <v>298</v>
      </c>
      <c r="F42" s="45" t="s">
        <v>299</v>
      </c>
      <c r="G42" s="45" t="s">
        <v>300</v>
      </c>
      <c r="H42" s="17" t="n">
        <v>5</v>
      </c>
      <c r="I42" s="17" t="n">
        <v>5</v>
      </c>
      <c r="J42" s="19" t="n">
        <f aca="false">H42*I42</f>
        <v>25</v>
      </c>
      <c r="K42" s="46" t="s">
        <v>301</v>
      </c>
      <c r="L42" s="20" t="s">
        <v>87</v>
      </c>
      <c r="M42" s="21" t="n">
        <f aca="false">IF(L42="very good", 0.2, IF(L42="good", 0.4, IF(L42="Satisfactory", 0.6, IF(L42="weak", 0.8, IF(L42="non existent", 1)))))</f>
        <v>0.8</v>
      </c>
      <c r="N42" s="22" t="n">
        <f aca="false">J42*M42</f>
        <v>20</v>
      </c>
      <c r="O42" s="23" t="str">
        <f aca="false">IF(N42&lt;=4,"Acceptable ",IF(N42&lt;=14,"Moderalety Acceptable","Unacceptable"))</f>
        <v>Unacceptable</v>
      </c>
      <c r="P42" s="23" t="str">
        <f aca="false">IF(N42&lt;=4,"Low Risk",IF(N42&lt;=14,"Medium Risk","High Risk"))</f>
        <v>High Risk</v>
      </c>
      <c r="Q42" s="23" t="str">
        <f aca="false">IF(P42="High Risk","Treatment",IF(P42="Medium Risk","Treatment","Tolerate"))</f>
        <v>Treatment</v>
      </c>
      <c r="R42" s="29" t="s">
        <v>294</v>
      </c>
      <c r="S42" s="45" t="s">
        <v>302</v>
      </c>
      <c r="T42" s="45" t="s">
        <v>294</v>
      </c>
      <c r="U42" s="47" t="s">
        <v>303</v>
      </c>
    </row>
    <row r="43" s="26" customFormat="true" ht="299.25" hidden="false" customHeight="true" outlineLevel="0" collapsed="false">
      <c r="A43" s="16" t="s">
        <v>62</v>
      </c>
      <c r="B43" s="17" t="s">
        <v>304</v>
      </c>
      <c r="C43" s="17" t="s">
        <v>289</v>
      </c>
      <c r="D43" s="16" t="s">
        <v>65</v>
      </c>
      <c r="E43" s="18" t="s">
        <v>305</v>
      </c>
      <c r="F43" s="18" t="s">
        <v>306</v>
      </c>
      <c r="G43" s="18" t="s">
        <v>307</v>
      </c>
      <c r="H43" s="48" t="n">
        <v>5</v>
      </c>
      <c r="I43" s="48" t="n">
        <v>5</v>
      </c>
      <c r="J43" s="49" t="n">
        <f aca="false">H43*I43</f>
        <v>25</v>
      </c>
      <c r="K43" s="18" t="s">
        <v>308</v>
      </c>
      <c r="L43" s="33" t="s">
        <v>30</v>
      </c>
      <c r="M43" s="50" t="n">
        <f aca="false">IF(L43="very good", 0.2, IF(L43="good", 0.4, IF(L43="Satisfactory", 0.6, IF(L43="weak", 0.8, IF(L43="non existent", 1)))))</f>
        <v>0.6</v>
      </c>
      <c r="N43" s="51" t="n">
        <f aca="false">J43*M43</f>
        <v>15</v>
      </c>
      <c r="O43" s="52" t="str">
        <f aca="false">IF(N43&lt;=4,"Acceptable ",IF(N43&lt;=14,"Moderalety Acceptable","Unacceptable"))</f>
        <v>Unacceptable</v>
      </c>
      <c r="P43" s="31" t="str">
        <f aca="false">IF(N43&lt;=4,"Low Risk",IF(N43&lt;=14,"Medium Risk","High Risk"))</f>
        <v>High Risk</v>
      </c>
      <c r="Q43" s="31" t="str">
        <f aca="false">IF(P43="High Risk","Treatment",IF(P43="Medium Risk","Treatment","Tolerate"))</f>
        <v>Treatment</v>
      </c>
      <c r="R43" s="18" t="s">
        <v>126</v>
      </c>
      <c r="S43" s="18" t="s">
        <v>309</v>
      </c>
      <c r="T43" s="25" t="s">
        <v>310</v>
      </c>
      <c r="U43" s="18" t="s">
        <v>311</v>
      </c>
    </row>
    <row r="44" s="26" customFormat="true" ht="143.25" hidden="false" customHeight="true" outlineLevel="0" collapsed="false">
      <c r="A44" s="16" t="s">
        <v>22</v>
      </c>
      <c r="B44" s="17" t="s">
        <v>312</v>
      </c>
      <c r="C44" s="17" t="s">
        <v>313</v>
      </c>
      <c r="D44" s="16" t="s">
        <v>314</v>
      </c>
      <c r="E44" s="18" t="s">
        <v>315</v>
      </c>
      <c r="F44" s="18" t="s">
        <v>316</v>
      </c>
      <c r="G44" s="18" t="s">
        <v>317</v>
      </c>
      <c r="H44" s="17" t="n">
        <v>4</v>
      </c>
      <c r="I44" s="17" t="n">
        <v>4</v>
      </c>
      <c r="J44" s="19" t="n">
        <f aca="false">H44*I44</f>
        <v>16</v>
      </c>
      <c r="K44" s="24" t="s">
        <v>318</v>
      </c>
      <c r="L44" s="20" t="s">
        <v>50</v>
      </c>
      <c r="M44" s="21" t="n">
        <f aca="false">IF(L44="very good", 0.2, IF(L44="good", 0.4, IF(L44="Satisfactory", 0.6, IF(L44="weak", 0.8, IF(L44="non existent", 1)))))</f>
        <v>0.4</v>
      </c>
      <c r="N44" s="22" t="n">
        <f aca="false">J44*M44</f>
        <v>6.4</v>
      </c>
      <c r="O44" s="31" t="str">
        <f aca="false">IF(N44&lt;=4,"Acceptable ",IF(N44&lt;=14,"Moderalety Acceptable","Unacceptable"))</f>
        <v>Moderalety Acceptable</v>
      </c>
      <c r="P44" s="31" t="str">
        <f aca="false">IF(N44&lt;=4,"Low Risk",IF(N44&lt;=14,"Medium Risk","High Risk"))</f>
        <v>Medium Risk</v>
      </c>
      <c r="Q44" s="31" t="str">
        <f aca="false">IF(P44="High Risk","Treatment",IF(P44="Medium Risk","Treatment","Tolerate"))</f>
        <v>Treatment</v>
      </c>
      <c r="R44" s="18" t="s">
        <v>58</v>
      </c>
      <c r="S44" s="24" t="s">
        <v>319</v>
      </c>
      <c r="T44" s="32" t="s">
        <v>320</v>
      </c>
      <c r="U44" s="24" t="s">
        <v>321</v>
      </c>
    </row>
    <row r="45" s="26" customFormat="true" ht="210" hidden="false" customHeight="true" outlineLevel="0" collapsed="false">
      <c r="A45" s="16" t="s">
        <v>22</v>
      </c>
      <c r="B45" s="17" t="s">
        <v>322</v>
      </c>
      <c r="C45" s="17" t="s">
        <v>313</v>
      </c>
      <c r="D45" s="16" t="s">
        <v>53</v>
      </c>
      <c r="E45" s="24" t="s">
        <v>323</v>
      </c>
      <c r="F45" s="24" t="s">
        <v>324</v>
      </c>
      <c r="G45" s="18" t="s">
        <v>325</v>
      </c>
      <c r="H45" s="17" t="n">
        <v>5</v>
      </c>
      <c r="I45" s="17" t="n">
        <v>5</v>
      </c>
      <c r="J45" s="19" t="n">
        <f aca="false">H45*I45</f>
        <v>25</v>
      </c>
      <c r="K45" s="24" t="s">
        <v>326</v>
      </c>
      <c r="L45" s="20" t="s">
        <v>50</v>
      </c>
      <c r="M45" s="21" t="n">
        <f aca="false">IF(L45="very good", 0.2, IF(L45="good", 0.4, IF(L45="Satisfactory", 0.6, IF(L45="weak", 0.8, IF(L45="non existent", 1)))))</f>
        <v>0.4</v>
      </c>
      <c r="N45" s="22" t="n">
        <f aca="false">J45*M45</f>
        <v>10</v>
      </c>
      <c r="O45" s="31" t="str">
        <f aca="false">IF(N45&lt;=4,"Acceptable ",IF(N45&lt;=14,"Moderalety Acceptable","Unacceptable"))</f>
        <v>Moderalety Acceptable</v>
      </c>
      <c r="P45" s="31" t="str">
        <f aca="false">IF(N45&lt;=4,"Low Risk",IF(N45&lt;=14,"Medium Risk","High Risk"))</f>
        <v>Medium Risk</v>
      </c>
      <c r="Q45" s="31" t="str">
        <f aca="false">IF(P45="High Risk","Treatment",IF(P45="Medium Risk","Treatment","Tolerate"))</f>
        <v>Treatment</v>
      </c>
      <c r="R45" s="18" t="s">
        <v>58</v>
      </c>
      <c r="S45" s="24" t="s">
        <v>327</v>
      </c>
      <c r="T45" s="32" t="s">
        <v>328</v>
      </c>
      <c r="U45" s="24" t="s">
        <v>329</v>
      </c>
    </row>
    <row r="46" s="26" customFormat="true" ht="199.5" hidden="false" customHeight="true" outlineLevel="0" collapsed="false">
      <c r="A46" s="16" t="s">
        <v>22</v>
      </c>
      <c r="B46" s="17" t="s">
        <v>330</v>
      </c>
      <c r="C46" s="17" t="s">
        <v>313</v>
      </c>
      <c r="D46" s="16" t="s">
        <v>25</v>
      </c>
      <c r="E46" s="24" t="s">
        <v>331</v>
      </c>
      <c r="F46" s="24" t="s">
        <v>332</v>
      </c>
      <c r="G46" s="24" t="s">
        <v>333</v>
      </c>
      <c r="H46" s="17" t="n">
        <v>4</v>
      </c>
      <c r="I46" s="17" t="n">
        <v>4</v>
      </c>
      <c r="J46" s="19" t="n">
        <f aca="false">H46*I46</f>
        <v>16</v>
      </c>
      <c r="K46" s="24" t="s">
        <v>334</v>
      </c>
      <c r="L46" s="20" t="s">
        <v>30</v>
      </c>
      <c r="M46" s="21" t="n">
        <f aca="false">IF(L46="very good", 0.2, IF(L46="good", 0.4, IF(L46="Satisfactory", 0.6, IF(L46="weak", 0.8, IF(L46="non existent", 1)))))</f>
        <v>0.6</v>
      </c>
      <c r="N46" s="22" t="n">
        <f aca="false">J46*M46</f>
        <v>9.6</v>
      </c>
      <c r="O46" s="31" t="str">
        <f aca="false">IF(N46&lt;=4,"Acceptable ",IF(N46&lt;=14,"Moderalety Acceptable","Unacceptable"))</f>
        <v>Moderalety Acceptable</v>
      </c>
      <c r="P46" s="31" t="str">
        <f aca="false">IF(N46&lt;=4,"Low Risk",IF(N46&lt;=14,"Medium Risk","High Risk"))</f>
        <v>Medium Risk</v>
      </c>
      <c r="Q46" s="31" t="str">
        <f aca="false">IF(P46="High Risk","Treatment",IF(P46="Medium Risk","Treatment","Tolerate"))</f>
        <v>Treatment</v>
      </c>
      <c r="R46" s="18" t="s">
        <v>58</v>
      </c>
      <c r="S46" s="18" t="s">
        <v>335</v>
      </c>
      <c r="T46" s="25" t="s">
        <v>336</v>
      </c>
      <c r="U46" s="18" t="s">
        <v>337</v>
      </c>
    </row>
    <row r="47" s="26" customFormat="true" ht="182.25" hidden="false" customHeight="true" outlineLevel="0" collapsed="false">
      <c r="A47" s="16" t="s">
        <v>22</v>
      </c>
      <c r="B47" s="17" t="s">
        <v>338</v>
      </c>
      <c r="C47" s="17" t="s">
        <v>313</v>
      </c>
      <c r="D47" s="53" t="s">
        <v>65</v>
      </c>
      <c r="E47" s="24" t="s">
        <v>339</v>
      </c>
      <c r="F47" s="24" t="s">
        <v>340</v>
      </c>
      <c r="G47" s="24" t="s">
        <v>341</v>
      </c>
      <c r="H47" s="17" t="n">
        <v>4</v>
      </c>
      <c r="I47" s="17" t="n">
        <v>4</v>
      </c>
      <c r="J47" s="19" t="n">
        <f aca="false">H47*I47</f>
        <v>16</v>
      </c>
      <c r="K47" s="24" t="s">
        <v>342</v>
      </c>
      <c r="L47" s="20" t="s">
        <v>30</v>
      </c>
      <c r="M47" s="21" t="n">
        <f aca="false">IF(L47="very good", 0.2, IF(L47="good", 0.4, IF(L47="Satisfactory", 0.6, IF(L47="weak", 0.8, IF(L47="non existent", 1)))))</f>
        <v>0.6</v>
      </c>
      <c r="N47" s="22" t="n">
        <f aca="false">J47*M47</f>
        <v>9.6</v>
      </c>
      <c r="O47" s="31" t="str">
        <f aca="false">IF(N47&lt;=4,"Acceptable ",IF(N47&lt;=14,"Moderalety Acceptable","Unacceptable"))</f>
        <v>Moderalety Acceptable</v>
      </c>
      <c r="P47" s="31" t="str">
        <f aca="false">IF(N47&lt;=4,"Low Risk",IF(N47&lt;=14,"Medium Risk","High Risk"))</f>
        <v>Medium Risk</v>
      </c>
      <c r="Q47" s="31" t="str">
        <f aca="false">IF(P47="High Risk","Treatment",IF(P47="Medium Risk","Treatment","Tolerate"))</f>
        <v>Treatment</v>
      </c>
      <c r="R47" s="18" t="s">
        <v>58</v>
      </c>
      <c r="S47" s="24" t="s">
        <v>343</v>
      </c>
      <c r="T47" s="32" t="s">
        <v>344</v>
      </c>
      <c r="U47" s="24" t="s">
        <v>345</v>
      </c>
    </row>
    <row r="48" customFormat="false" ht="47.25" hidden="false" customHeight="true" outlineLevel="0" collapsed="false">
      <c r="A48" s="54" t="s">
        <v>346</v>
      </c>
      <c r="B48" s="55"/>
      <c r="C48" s="56"/>
      <c r="N48" s="57"/>
    </row>
    <row r="49" customFormat="false" ht="17.35" hidden="false" customHeight="false" outlineLevel="0" collapsed="false">
      <c r="A49" s="54"/>
      <c r="B49" s="55"/>
      <c r="C49" s="56"/>
      <c r="N49" s="57"/>
    </row>
    <row r="50" customFormat="false" ht="17.35" hidden="false" customHeight="false" outlineLevel="0" collapsed="false">
      <c r="A50" s="54" t="s">
        <v>347</v>
      </c>
      <c r="B50" s="55"/>
      <c r="C50" s="56"/>
    </row>
    <row r="51" customFormat="false" ht="17.35" hidden="false" customHeight="false" outlineLevel="0" collapsed="false">
      <c r="B51" s="58"/>
      <c r="C51" s="56"/>
    </row>
    <row r="52" customFormat="false" ht="15" hidden="false" customHeight="false" outlineLevel="0" collapsed="false">
      <c r="A52" s="59"/>
      <c r="B52" s="59"/>
    </row>
  </sheetData>
  <conditionalFormatting sqref="J10:J47 N10:N47">
    <cfRule type="cellIs" priority="2" operator="between" aboveAverage="0" equalAverage="0" bottom="0" percent="0" rank="0" text="" dxfId="7">
      <formula>1</formula>
      <formula>4</formula>
    </cfRule>
    <cfRule type="cellIs" priority="3" operator="between" aboveAverage="0" equalAverage="0" bottom="0" percent="0" rank="0" text="" dxfId="8">
      <formula>5</formula>
      <formula>14</formula>
    </cfRule>
    <cfRule type="cellIs" priority="4" operator="between" aboveAverage="0" equalAverage="0" bottom="0" percent="0" rank="0" text="" dxfId="9">
      <formula>15</formula>
      <formula>25</formula>
    </cfRule>
  </conditionalFormatting>
  <conditionalFormatting sqref="U33">
    <cfRule type="cellIs" priority="5" operator="between" aboveAverage="0" equalAverage="0" bottom="0" percent="0" rank="0" text="" dxfId="10">
      <formula>1</formula>
      <formula>4</formula>
    </cfRule>
    <cfRule type="cellIs" priority="6" operator="between" aboveAverage="0" equalAverage="0" bottom="0" percent="0" rank="0" text="" dxfId="11">
      <formula>5</formula>
      <formula>14</formula>
    </cfRule>
    <cfRule type="cellIs" priority="7" operator="between" aboveAverage="0" equalAverage="0" bottom="0" percent="0" rank="0" text="" dxfId="12">
      <formula>15</formula>
      <formula>25</formula>
    </cfRule>
  </conditionalFormatting>
  <conditionalFormatting sqref="N48:N49">
    <cfRule type="cellIs" priority="8" operator="between" aboveAverage="0" equalAverage="0" bottom="0" percent="0" rank="0" text="" dxfId="13">
      <formula>1</formula>
      <formula>4</formula>
    </cfRule>
    <cfRule type="cellIs" priority="9" operator="between" aboveAverage="0" equalAverage="0" bottom="0" percent="0" rank="0" text="" dxfId="14">
      <formula>5</formula>
      <formula>14</formula>
    </cfRule>
    <cfRule type="cellIs" priority="10" operator="between" aboveAverage="0" equalAverage="0" bottom="0" percent="0" rank="0" text="" dxfId="15">
      <formula>15</formula>
      <formula>25</formula>
    </cfRule>
  </conditionalFormatting>
  <dataValidations count="4">
    <dataValidation allowBlank="true" errorStyle="stop" operator="between" showDropDown="false" showErrorMessage="true" showInputMessage="true" sqref="M10:M16 M20:M23 M25:M27 M41:M47" type="list">
      <formula1>0</formula1>
      <formula2>0</formula2>
    </dataValidation>
    <dataValidation allowBlank="true" errorStyle="stop" operator="between" showDropDown="false" showErrorMessage="true" showInputMessage="true" sqref="L10:L33 L35:L47" type="list">
      <formula1>Tolerance!$F$29:$F$33</formula1>
      <formula2>0</formula2>
    </dataValidation>
    <dataValidation allowBlank="true" errorStyle="stop" operator="between" showDropDown="false" showErrorMessage="true" showInputMessage="true" sqref="D10:D23 D25:D27 D29:D47" type="list">
      <formula1>Tolerance!$B$35:$B$55</formula1>
      <formula2>0</formula2>
    </dataValidation>
    <dataValidation allowBlank="true" errorStyle="stop" operator="between" showDropDown="false" showErrorMessage="true" showInputMessage="true" sqref="L34" type="list">
      <formula1>Tolerance!$K$2:$K$6</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60" width="16.85"/>
    <col collapsed="false" customWidth="true" hidden="false" outlineLevel="0" max="2" min="2" style="61" width="14.71"/>
    <col collapsed="false" customWidth="true" hidden="false" outlineLevel="0" max="3" min="3" style="61" width="27.57"/>
    <col collapsed="false" customWidth="true" hidden="false" outlineLevel="0" max="4" min="4" style="61" width="19.71"/>
    <col collapsed="false" customWidth="true" hidden="false" outlineLevel="0" max="5" min="5" style="60" width="21"/>
    <col collapsed="false" customWidth="true" hidden="false" outlineLevel="0" max="6" min="6" style="60" width="34.71"/>
    <col collapsed="false" customWidth="true" hidden="false" outlineLevel="0" max="7" min="7" style="60" width="26.57"/>
    <col collapsed="false" customWidth="true" hidden="false" outlineLevel="0" max="8" min="8" style="60" width="13.15"/>
    <col collapsed="false" customWidth="true" hidden="false" outlineLevel="0" max="9" min="9" style="60" width="11.57"/>
    <col collapsed="false" customWidth="true" hidden="false" outlineLevel="0" max="10" min="10" style="60" width="13.42"/>
    <col collapsed="false" customWidth="true" hidden="false" outlineLevel="0" max="11" min="11" style="60" width="35.57"/>
    <col collapsed="false" customWidth="true" hidden="false" outlineLevel="0" max="12" min="12" style="62" width="14.71"/>
    <col collapsed="false" customWidth="true" hidden="false" outlineLevel="0" max="13" min="13" style="60" width="14.57"/>
    <col collapsed="false" customWidth="true" hidden="false" outlineLevel="0" max="14" min="14" style="61" width="10.57"/>
    <col collapsed="false" customWidth="true" hidden="false" outlineLevel="0" max="15" min="15" style="60" width="12"/>
    <col collapsed="false" customWidth="true" hidden="false" outlineLevel="0" max="16" min="16" style="63" width="14.71"/>
    <col collapsed="false" customWidth="true" hidden="false" outlineLevel="0" max="17" min="17" style="63" width="15.57"/>
    <col collapsed="false" customWidth="true" hidden="false" outlineLevel="0" max="18" min="18" style="61" width="20.29"/>
    <col collapsed="false" customWidth="true" hidden="false" outlineLevel="0" max="19" min="19" style="60" width="23.42"/>
    <col collapsed="false" customWidth="true" hidden="false" outlineLevel="0" max="20" min="20" style="60" width="21.57"/>
    <col collapsed="false" customWidth="true" hidden="false" outlineLevel="0" max="21" min="21" style="61" width="17.57"/>
    <col collapsed="false" customWidth="true" hidden="false" outlineLevel="0" max="22" min="22" style="60" width="79"/>
    <col collapsed="false" customWidth="false" hidden="false" outlineLevel="0" max="16384" min="23" style="60" width="8.71"/>
  </cols>
  <sheetData>
    <row r="1" s="70" customFormat="true" ht="148.5" hidden="false" customHeight="false" outlineLevel="0" collapsed="false">
      <c r="A1" s="64" t="s">
        <v>348</v>
      </c>
      <c r="B1" s="65" t="s">
        <v>2</v>
      </c>
      <c r="C1" s="65" t="s">
        <v>4</v>
      </c>
      <c r="D1" s="65" t="s">
        <v>349</v>
      </c>
      <c r="E1" s="66" t="s">
        <v>5</v>
      </c>
      <c r="F1" s="67" t="s">
        <v>6</v>
      </c>
      <c r="G1" s="67" t="s">
        <v>7</v>
      </c>
      <c r="H1" s="68" t="s">
        <v>350</v>
      </c>
      <c r="I1" s="68" t="s">
        <v>9</v>
      </c>
      <c r="J1" s="68" t="s">
        <v>351</v>
      </c>
      <c r="K1" s="66" t="s">
        <v>11</v>
      </c>
      <c r="L1" s="69" t="s">
        <v>12</v>
      </c>
      <c r="M1" s="69" t="s">
        <v>13</v>
      </c>
      <c r="N1" s="65" t="s">
        <v>352</v>
      </c>
      <c r="O1" s="68" t="s">
        <v>353</v>
      </c>
      <c r="P1" s="68" t="s">
        <v>16</v>
      </c>
      <c r="Q1" s="68" t="s">
        <v>354</v>
      </c>
      <c r="R1" s="65" t="s">
        <v>18</v>
      </c>
      <c r="S1" s="66" t="s">
        <v>19</v>
      </c>
      <c r="T1" s="66" t="s">
        <v>20</v>
      </c>
      <c r="U1" s="65" t="s">
        <v>21</v>
      </c>
      <c r="V1" s="65" t="s">
        <v>355</v>
      </c>
    </row>
    <row r="2" customFormat="false" ht="409.5" hidden="false" customHeight="true" outlineLevel="0" collapsed="false">
      <c r="A2" s="71" t="s">
        <v>356</v>
      </c>
      <c r="B2" s="72" t="s">
        <v>357</v>
      </c>
      <c r="C2" s="73"/>
      <c r="D2" s="73"/>
      <c r="E2" s="71" t="s">
        <v>358</v>
      </c>
      <c r="F2" s="71" t="s">
        <v>359</v>
      </c>
      <c r="G2" s="71" t="s">
        <v>360</v>
      </c>
      <c r="H2" s="74" t="n">
        <v>3</v>
      </c>
      <c r="I2" s="74" t="n">
        <v>3</v>
      </c>
      <c r="J2" s="75" t="n">
        <f aca="false">H2*I2</f>
        <v>9</v>
      </c>
      <c r="L2" s="76" t="s">
        <v>361</v>
      </c>
      <c r="M2" s="77" t="n">
        <f aca="false">IF(L2="very good", 0.2, IF(L2="good", 0.4, IF(L2="Satisfactory", 0.6, IF(L2="weak", 0.8, IF(L2="non existent", 1)))))</f>
        <v>0.6</v>
      </c>
      <c r="N2" s="75" t="n">
        <f aca="false">J2*M2</f>
        <v>5.4</v>
      </c>
      <c r="O2" s="78" t="str">
        <f aca="false">IF(N2&lt;=4,"Acceptable ",IF(N2&lt;=14,"Moderalety Acceptable","Unacceptable"))</f>
        <v>Moderalety Acceptable</v>
      </c>
      <c r="P2" s="78" t="str">
        <f aca="false">IF(N2&lt;=4,"Low Risk",IF(N2&lt;=14,"Medium Risk","High Risk"))</f>
        <v>Medium Risk</v>
      </c>
      <c r="Q2" s="78" t="str">
        <f aca="false">IF(P2="High Risk","Treatment",IF(P2="Medium Risk","Treatment","Tolerate"))</f>
        <v>Treatment</v>
      </c>
      <c r="R2" s="79"/>
      <c r="S2" s="79"/>
      <c r="T2" s="79"/>
      <c r="U2" s="79"/>
      <c r="V2" s="79"/>
    </row>
    <row r="3" customFormat="false" ht="392.25" hidden="false" customHeight="true" outlineLevel="0" collapsed="false">
      <c r="A3" s="71" t="s">
        <v>356</v>
      </c>
      <c r="B3" s="72" t="s">
        <v>362</v>
      </c>
      <c r="C3" s="73"/>
      <c r="D3" s="73"/>
      <c r="E3" s="71" t="s">
        <v>363</v>
      </c>
      <c r="F3" s="71" t="s">
        <v>364</v>
      </c>
      <c r="G3" s="71" t="s">
        <v>365</v>
      </c>
      <c r="H3" s="74" t="n">
        <v>3</v>
      </c>
      <c r="I3" s="74" t="n">
        <v>3</v>
      </c>
      <c r="J3" s="75" t="n">
        <f aca="false">H3*I3</f>
        <v>9</v>
      </c>
      <c r="L3" s="76" t="s">
        <v>361</v>
      </c>
      <c r="M3" s="77" t="n">
        <f aca="false">IF(L3="very good", 0.2, IF(L3="good", 0.4, IF(L3="Satisfactory", 0.6, IF(L3="weak", 0.8, IF(L3="non existent", 1)))))</f>
        <v>0.6</v>
      </c>
      <c r="N3" s="75" t="n">
        <f aca="false">J3*M3</f>
        <v>5.4</v>
      </c>
      <c r="O3" s="78" t="str">
        <f aca="false">IF(N3&lt;=4,"Acceptable ",IF(N3&lt;=14,"Moderalety Acceptable","Unacceptable"))</f>
        <v>Moderalety Acceptable</v>
      </c>
      <c r="P3" s="78" t="str">
        <f aca="false">IF(N3&lt;=4,"Low Risk",IF(N3&lt;=14,"Medium Risk","High Risk"))</f>
        <v>Medium Risk</v>
      </c>
      <c r="Q3" s="78" t="str">
        <f aca="false">IF(P3="High Risk","Treatment",IF(P3="Medium Risk","Treatment","Tolerate"))</f>
        <v>Treatment</v>
      </c>
      <c r="R3" s="79"/>
      <c r="S3" s="79"/>
      <c r="T3" s="79"/>
      <c r="U3" s="79"/>
      <c r="V3" s="79"/>
    </row>
    <row r="4" customFormat="false" ht="309" hidden="false" customHeight="true" outlineLevel="0" collapsed="false">
      <c r="A4" s="71" t="s">
        <v>356</v>
      </c>
      <c r="B4" s="72" t="s">
        <v>366</v>
      </c>
      <c r="C4" s="73"/>
      <c r="D4" s="73"/>
      <c r="E4" s="71" t="s">
        <v>367</v>
      </c>
      <c r="F4" s="71" t="s">
        <v>368</v>
      </c>
      <c r="G4" s="71" t="s">
        <v>369</v>
      </c>
      <c r="H4" s="74" t="n">
        <v>3</v>
      </c>
      <c r="I4" s="74" t="n">
        <v>3</v>
      </c>
      <c r="J4" s="75" t="n">
        <f aca="false">H4*I4</f>
        <v>9</v>
      </c>
      <c r="L4" s="76" t="s">
        <v>361</v>
      </c>
      <c r="M4" s="77" t="n">
        <f aca="false">IF(L4="very good", 0.2, IF(L4="good", 0.4, IF(L4="Satisfactory", 0.6, IF(L4="weak", 0.8, IF(L4="non existent", 1)))))</f>
        <v>0.6</v>
      </c>
      <c r="N4" s="75" t="n">
        <f aca="false">J4*M4</f>
        <v>5.4</v>
      </c>
      <c r="O4" s="78" t="str">
        <f aca="false">IF(N4&lt;=4,"Acceptable ",IF(N4&lt;=14,"Moderalety Acceptable","Unacceptable"))</f>
        <v>Moderalety Acceptable</v>
      </c>
      <c r="P4" s="78" t="str">
        <f aca="false">IF(N4&lt;=4,"Low Risk",IF(N4&lt;=14,"Medium Risk","High Risk"))</f>
        <v>Medium Risk</v>
      </c>
      <c r="Q4" s="78" t="str">
        <f aca="false">IF(P4="High Risk","Treatment",IF(P4="Medium Risk","Treatment","Tolerate"))</f>
        <v>Treatment</v>
      </c>
      <c r="R4" s="79"/>
      <c r="S4" s="79"/>
      <c r="T4" s="79"/>
      <c r="U4" s="79"/>
      <c r="V4" s="79"/>
    </row>
    <row r="5" customFormat="false" ht="131.3" hidden="false" customHeight="false" outlineLevel="0" collapsed="false">
      <c r="A5" s="71" t="s">
        <v>356</v>
      </c>
      <c r="B5" s="72" t="s">
        <v>370</v>
      </c>
      <c r="C5" s="73"/>
      <c r="D5" s="73"/>
      <c r="E5" s="73"/>
      <c r="F5" s="71"/>
      <c r="G5" s="71"/>
      <c r="H5" s="74" t="n">
        <v>3</v>
      </c>
      <c r="I5" s="74" t="n">
        <v>3</v>
      </c>
      <c r="J5" s="75" t="n">
        <f aca="false">H5*I5</f>
        <v>9</v>
      </c>
      <c r="L5" s="76" t="s">
        <v>361</v>
      </c>
      <c r="M5" s="77" t="n">
        <f aca="false">IF(L5="very good", 0.2, IF(L5="good", 0.4, IF(L5="Satisfactory", 0.6, IF(L5="weak", 0.8, IF(L5="non existent", 1)))))</f>
        <v>0.6</v>
      </c>
      <c r="N5" s="75" t="n">
        <f aca="false">J5*M5</f>
        <v>5.4</v>
      </c>
      <c r="O5" s="78" t="str">
        <f aca="false">IF(N5&lt;=4,"Acceptable ",IF(N5&lt;=14,"Moderalety Acceptable","Unacceptable"))</f>
        <v>Moderalety Acceptable</v>
      </c>
      <c r="P5" s="78" t="str">
        <f aca="false">IF(N5&lt;=4,"Low Risk",IF(N5&lt;=14,"Medium Risk","High Risk"))</f>
        <v>Medium Risk</v>
      </c>
      <c r="Q5" s="78" t="str">
        <f aca="false">IF(P5="High Risk","Treatment",IF(P5="Medium Risk","Treatment","Tolerate"))</f>
        <v>Treatment</v>
      </c>
      <c r="R5" s="79"/>
      <c r="S5" s="79"/>
      <c r="T5" s="79"/>
      <c r="U5" s="79"/>
      <c r="V5" s="79"/>
    </row>
    <row r="6" customFormat="false" ht="131.3" hidden="false" customHeight="false" outlineLevel="0" collapsed="false">
      <c r="A6" s="71" t="s">
        <v>356</v>
      </c>
      <c r="B6" s="72" t="s">
        <v>371</v>
      </c>
      <c r="C6" s="73"/>
      <c r="D6" s="73"/>
      <c r="E6" s="73"/>
      <c r="F6" s="71"/>
      <c r="G6" s="71"/>
      <c r="H6" s="74" t="n">
        <v>3</v>
      </c>
      <c r="I6" s="74" t="n">
        <v>3</v>
      </c>
      <c r="J6" s="75" t="n">
        <f aca="false">H6*I6</f>
        <v>9</v>
      </c>
      <c r="L6" s="76" t="s">
        <v>361</v>
      </c>
      <c r="M6" s="77" t="n">
        <f aca="false">IF(L6="very good", 0.2, IF(L6="good", 0.4, IF(L6="Satisfactory", 0.6, IF(L6="weak", 0.8, IF(L6="non existent", 1)))))</f>
        <v>0.6</v>
      </c>
      <c r="N6" s="75" t="n">
        <f aca="false">J6*M6</f>
        <v>5.4</v>
      </c>
      <c r="O6" s="78" t="str">
        <f aca="false">IF(N6&lt;=4,"Acceptable ",IF(N6&lt;=14,"Moderalety Acceptable","Unacceptable"))</f>
        <v>Moderalety Acceptable</v>
      </c>
      <c r="P6" s="78" t="str">
        <f aca="false">IF(N6&lt;=4,"Low Risk",IF(N6&lt;=14,"Medium Risk","High Risk"))</f>
        <v>Medium Risk</v>
      </c>
      <c r="Q6" s="78" t="str">
        <f aca="false">IF(P6="High Risk","Treatment",IF(P6="Medium Risk","Treatment","Tolerate"))</f>
        <v>Treatment</v>
      </c>
      <c r="R6" s="79"/>
      <c r="S6" s="79"/>
      <c r="T6" s="79"/>
      <c r="U6" s="79"/>
      <c r="V6" s="79"/>
    </row>
    <row r="7" customFormat="false" ht="131.3" hidden="false" customHeight="false" outlineLevel="0" collapsed="false">
      <c r="A7" s="71" t="s">
        <v>356</v>
      </c>
      <c r="B7" s="72" t="s">
        <v>372</v>
      </c>
      <c r="C7" s="73"/>
      <c r="D7" s="73"/>
      <c r="E7" s="73"/>
      <c r="F7" s="71"/>
      <c r="G7" s="71"/>
      <c r="H7" s="74" t="n">
        <v>3</v>
      </c>
      <c r="I7" s="74" t="n">
        <v>3</v>
      </c>
      <c r="J7" s="75" t="n">
        <f aca="false">H7*I7</f>
        <v>9</v>
      </c>
      <c r="L7" s="76" t="s">
        <v>361</v>
      </c>
      <c r="M7" s="77" t="n">
        <f aca="false">IF(L7="very good", 0.2, IF(L7="good", 0.4, IF(L7="Satisfactory", 0.6, IF(L7="weak", 0.8, IF(L7="non existent", 1)))))</f>
        <v>0.6</v>
      </c>
      <c r="N7" s="75" t="n">
        <f aca="false">J7*M7</f>
        <v>5.4</v>
      </c>
      <c r="O7" s="78" t="str">
        <f aca="false">IF(N7&lt;=4,"Acceptable ",IF(N7&lt;=14,"Moderalety Acceptable","Unacceptable"))</f>
        <v>Moderalety Acceptable</v>
      </c>
      <c r="P7" s="78" t="str">
        <f aca="false">IF(N7&lt;=4,"Low Risk",IF(N7&lt;=14,"Medium Risk","High Risk"))</f>
        <v>Medium Risk</v>
      </c>
      <c r="Q7" s="78" t="str">
        <f aca="false">IF(P7="High Risk","Treatment",IF(P7="Medium Risk","Treatment","Tolerate"))</f>
        <v>Treatment</v>
      </c>
      <c r="R7" s="79"/>
      <c r="S7" s="79"/>
      <c r="T7" s="79"/>
      <c r="U7" s="79"/>
      <c r="V7" s="79"/>
    </row>
    <row r="8" customFormat="false" ht="131.3" hidden="false" customHeight="false" outlineLevel="0" collapsed="false">
      <c r="A8" s="71" t="s">
        <v>356</v>
      </c>
      <c r="B8" s="72" t="s">
        <v>373</v>
      </c>
      <c r="C8" s="73"/>
      <c r="D8" s="73"/>
      <c r="E8" s="73"/>
      <c r="F8" s="71"/>
      <c r="G8" s="71"/>
      <c r="H8" s="74" t="n">
        <v>3</v>
      </c>
      <c r="I8" s="74" t="n">
        <v>3</v>
      </c>
      <c r="J8" s="75" t="n">
        <f aca="false">H8*I8</f>
        <v>9</v>
      </c>
      <c r="L8" s="76" t="s">
        <v>361</v>
      </c>
      <c r="M8" s="77" t="n">
        <f aca="false">IF(L8="very good", 0.2, IF(L8="good", 0.4, IF(L8="Satisfactory", 0.6, IF(L8="weak", 0.8, IF(L8="non existent", 1)))))</f>
        <v>0.6</v>
      </c>
      <c r="N8" s="75" t="n">
        <f aca="false">J8*M8</f>
        <v>5.4</v>
      </c>
      <c r="O8" s="78" t="str">
        <f aca="false">IF(N8&lt;=4,"Acceptable ",IF(N8&lt;=14,"Moderalety Acceptable","Unacceptable"))</f>
        <v>Moderalety Acceptable</v>
      </c>
      <c r="P8" s="78" t="str">
        <f aca="false">IF(N8&lt;=4,"Low Risk",IF(N8&lt;=14,"Medium Risk","High Risk"))</f>
        <v>Medium Risk</v>
      </c>
      <c r="Q8" s="78" t="str">
        <f aca="false">IF(P8="High Risk","Treatment",IF(P8="Medium Risk","Treatment","Tolerate"))</f>
        <v>Treatment</v>
      </c>
      <c r="R8" s="79"/>
      <c r="S8" s="79"/>
      <c r="T8" s="79"/>
      <c r="U8" s="79"/>
      <c r="V8" s="79"/>
    </row>
    <row r="9" customFormat="false" ht="131.3" hidden="false" customHeight="false" outlineLevel="0" collapsed="false">
      <c r="A9" s="71" t="s">
        <v>356</v>
      </c>
      <c r="B9" s="72" t="s">
        <v>374</v>
      </c>
      <c r="C9" s="73"/>
      <c r="D9" s="73"/>
      <c r="E9" s="73"/>
      <c r="F9" s="71"/>
      <c r="G9" s="71"/>
      <c r="H9" s="74" t="n">
        <v>3</v>
      </c>
      <c r="I9" s="74" t="n">
        <v>3</v>
      </c>
      <c r="J9" s="75" t="n">
        <f aca="false">H9*I9</f>
        <v>9</v>
      </c>
      <c r="L9" s="76" t="s">
        <v>361</v>
      </c>
      <c r="M9" s="77" t="n">
        <f aca="false">IF(L9="very good", 0.2, IF(L9="good", 0.4, IF(L9="Satisfactory", 0.6, IF(L9="weak", 0.8, IF(L9="non existent", 1)))))</f>
        <v>0.6</v>
      </c>
      <c r="N9" s="75" t="n">
        <f aca="false">J9*M9</f>
        <v>5.4</v>
      </c>
      <c r="O9" s="78" t="str">
        <f aca="false">IF(N9&lt;=4,"Acceptable ",IF(N9&lt;=14,"Moderalety Acceptable","Unacceptable"))</f>
        <v>Moderalety Acceptable</v>
      </c>
      <c r="P9" s="78" t="str">
        <f aca="false">IF(N9&lt;=4,"Low Risk",IF(N9&lt;=14,"Medium Risk","High Risk"))</f>
        <v>Medium Risk</v>
      </c>
      <c r="Q9" s="78" t="str">
        <f aca="false">IF(P9="High Risk","Treatment",IF(P9="Medium Risk","Treatment","Tolerate"))</f>
        <v>Treatment</v>
      </c>
      <c r="R9" s="79"/>
      <c r="S9" s="79"/>
      <c r="T9" s="79"/>
      <c r="U9" s="79"/>
      <c r="V9" s="79"/>
    </row>
    <row r="10" customFormat="false" ht="131.3" hidden="false" customHeight="false" outlineLevel="0" collapsed="false">
      <c r="A10" s="71" t="s">
        <v>356</v>
      </c>
      <c r="B10" s="72" t="s">
        <v>375</v>
      </c>
      <c r="C10" s="73"/>
      <c r="D10" s="73"/>
      <c r="E10" s="73"/>
      <c r="F10" s="71"/>
      <c r="G10" s="71"/>
      <c r="H10" s="74" t="n">
        <v>3</v>
      </c>
      <c r="I10" s="74" t="n">
        <v>3</v>
      </c>
      <c r="J10" s="75" t="n">
        <f aca="false">H10*I10</f>
        <v>9</v>
      </c>
      <c r="L10" s="76" t="s">
        <v>361</v>
      </c>
      <c r="M10" s="77" t="n">
        <f aca="false">IF(L10="very good", 0.2, IF(L10="good", 0.4, IF(L10="Satisfactory", 0.6, IF(L10="weak", 0.8, IF(L10="non existent", 1)))))</f>
        <v>0.6</v>
      </c>
      <c r="N10" s="75" t="n">
        <f aca="false">J10*M10</f>
        <v>5.4</v>
      </c>
      <c r="O10" s="78" t="str">
        <f aca="false">IF(N10&lt;=4,"Acceptable ",IF(N10&lt;=14,"Moderalety Acceptable","Unacceptable"))</f>
        <v>Moderalety Acceptable</v>
      </c>
      <c r="P10" s="78" t="str">
        <f aca="false">IF(N10&lt;=4,"Low Risk",IF(N10&lt;=14,"Medium Risk","High Risk"))</f>
        <v>Medium Risk</v>
      </c>
      <c r="Q10" s="78" t="str">
        <f aca="false">IF(P10="High Risk","Treatment",IF(P10="Medium Risk","Treatment","Tolerate"))</f>
        <v>Treatment</v>
      </c>
      <c r="R10" s="79"/>
      <c r="S10" s="79"/>
      <c r="T10" s="79"/>
      <c r="U10" s="79"/>
      <c r="V10" s="79"/>
    </row>
    <row r="11" customFormat="false" ht="131.3" hidden="false" customHeight="false" outlineLevel="0" collapsed="false">
      <c r="A11" s="71" t="s">
        <v>356</v>
      </c>
      <c r="B11" s="72" t="s">
        <v>376</v>
      </c>
      <c r="C11" s="73"/>
      <c r="D11" s="73"/>
      <c r="E11" s="73"/>
      <c r="F11" s="71"/>
      <c r="G11" s="71"/>
      <c r="H11" s="74" t="n">
        <v>3</v>
      </c>
      <c r="I11" s="74" t="n">
        <v>3</v>
      </c>
      <c r="J11" s="75" t="n">
        <f aca="false">H11*I11</f>
        <v>9</v>
      </c>
      <c r="L11" s="76" t="s">
        <v>361</v>
      </c>
      <c r="M11" s="77" t="n">
        <f aca="false">IF(L11="very good", 0.2, IF(L11="good", 0.4, IF(L11="Satisfactory", 0.6, IF(L11="weak", 0.8, IF(L11="non existent", 1)))))</f>
        <v>0.6</v>
      </c>
      <c r="N11" s="75" t="n">
        <f aca="false">J11*M11</f>
        <v>5.4</v>
      </c>
      <c r="O11" s="78" t="str">
        <f aca="false">IF(N11&lt;=4,"Acceptable ",IF(N11&lt;=14,"Moderalety Acceptable","Unacceptable"))</f>
        <v>Moderalety Acceptable</v>
      </c>
      <c r="P11" s="78" t="str">
        <f aca="false">IF(N11&lt;=4,"Low Risk",IF(N11&lt;=14,"Medium Risk","High Risk"))</f>
        <v>Medium Risk</v>
      </c>
      <c r="Q11" s="78" t="str">
        <f aca="false">IF(P11="High Risk","Treatment",IF(P11="Medium Risk","Treatment","Tolerate"))</f>
        <v>Treatment</v>
      </c>
      <c r="R11" s="79"/>
      <c r="S11" s="79"/>
      <c r="T11" s="79"/>
      <c r="U11" s="79"/>
      <c r="V11" s="79"/>
    </row>
    <row r="12" customFormat="false" ht="131.3" hidden="false" customHeight="false" outlineLevel="0" collapsed="false">
      <c r="A12" s="73"/>
      <c r="B12" s="73" t="s">
        <v>377</v>
      </c>
      <c r="C12" s="73"/>
      <c r="D12" s="73"/>
      <c r="E12" s="73"/>
      <c r="F12" s="71"/>
      <c r="G12" s="71"/>
      <c r="H12" s="74" t="n">
        <v>3</v>
      </c>
      <c r="I12" s="74" t="n">
        <v>3</v>
      </c>
      <c r="J12" s="75" t="n">
        <f aca="false">H12*I12</f>
        <v>9</v>
      </c>
      <c r="L12" s="76" t="s">
        <v>361</v>
      </c>
      <c r="M12" s="77" t="n">
        <f aca="false">IF(L12="very good", 0.2, IF(L12="good", 0.4, IF(L12="Satisfactory", 0.6, IF(L12="weak", 0.8, IF(L12="non existent", 1)))))</f>
        <v>0.6</v>
      </c>
      <c r="N12" s="75" t="n">
        <f aca="false">J12*M12</f>
        <v>5.4</v>
      </c>
      <c r="O12" s="78" t="str">
        <f aca="false">IF(N12&lt;=4,"Acceptable ",IF(N12&lt;=14,"Moderalety Acceptable","Unacceptable"))</f>
        <v>Moderalety Acceptable</v>
      </c>
      <c r="P12" s="78" t="str">
        <f aca="false">IF(N12&lt;=4,"Low Risk",IF(N12&lt;=14,"Medium Risk","High Risk"))</f>
        <v>Medium Risk</v>
      </c>
      <c r="Q12" s="78" t="str">
        <f aca="false">IF(P12="High Risk","Treatment",IF(P12="Medium Risk","Treatment","Tolerate"))</f>
        <v>Treatment</v>
      </c>
      <c r="R12" s="79"/>
      <c r="S12" s="79"/>
      <c r="T12" s="79"/>
      <c r="U12" s="79"/>
      <c r="V12" s="79"/>
    </row>
    <row r="13" customFormat="false" ht="131.3" hidden="false" customHeight="false" outlineLevel="0" collapsed="false">
      <c r="A13" s="73"/>
      <c r="B13" s="73" t="s">
        <v>378</v>
      </c>
      <c r="C13" s="73"/>
      <c r="D13" s="73"/>
      <c r="E13" s="73"/>
      <c r="F13" s="73"/>
      <c r="G13" s="73"/>
      <c r="H13" s="74" t="n">
        <v>3</v>
      </c>
      <c r="I13" s="74" t="n">
        <v>3</v>
      </c>
      <c r="J13" s="75" t="n">
        <f aca="false">H13*I13</f>
        <v>9</v>
      </c>
      <c r="L13" s="76" t="s">
        <v>361</v>
      </c>
      <c r="M13" s="77" t="n">
        <f aca="false">IF(L13="very good", 0.2, IF(L13="good", 0.4, IF(L13="Satisfactory", 0.6, IF(L13="weak", 0.8, IF(L13="non existent", 1)))))</f>
        <v>0.6</v>
      </c>
      <c r="N13" s="75" t="n">
        <f aca="false">J13*M13</f>
        <v>5.4</v>
      </c>
      <c r="O13" s="78" t="str">
        <f aca="false">IF(N13&lt;=4,"Acceptable ",IF(N13&lt;=14,"Moderalety Acceptable","Unacceptable"))</f>
        <v>Moderalety Acceptable</v>
      </c>
      <c r="P13" s="78" t="str">
        <f aca="false">IF(N13&lt;=4,"Low Risk",IF(N13&lt;=14,"Medium Risk","High Risk"))</f>
        <v>Medium Risk</v>
      </c>
      <c r="Q13" s="78" t="str">
        <f aca="false">IF(P13="High Risk","Treatment",IF(P13="Medium Risk","Treatment","Tolerate"))</f>
        <v>Treatment</v>
      </c>
      <c r="R13" s="79"/>
      <c r="S13" s="79"/>
      <c r="T13" s="79"/>
      <c r="U13" s="79"/>
      <c r="V13" s="79"/>
    </row>
    <row r="14" customFormat="false" ht="131.3" hidden="false" customHeight="false" outlineLevel="0" collapsed="false">
      <c r="A14" s="73"/>
      <c r="B14" s="73" t="s">
        <v>379</v>
      </c>
      <c r="C14" s="73"/>
      <c r="D14" s="73"/>
      <c r="E14" s="73"/>
      <c r="F14" s="73"/>
      <c r="G14" s="73"/>
      <c r="H14" s="74" t="n">
        <v>3</v>
      </c>
      <c r="I14" s="74" t="n">
        <v>3</v>
      </c>
      <c r="J14" s="75" t="n">
        <f aca="false">H14*I14</f>
        <v>9</v>
      </c>
      <c r="L14" s="76" t="s">
        <v>361</v>
      </c>
      <c r="M14" s="77" t="n">
        <f aca="false">IF(L14="very good", 0.2, IF(L14="good", 0.4, IF(L14="Satisfactory", 0.6, IF(L14="weak", 0.8, IF(L14="non existent", 1)))))</f>
        <v>0.6</v>
      </c>
      <c r="N14" s="75" t="n">
        <f aca="false">J14*M14</f>
        <v>5.4</v>
      </c>
      <c r="O14" s="78" t="str">
        <f aca="false">IF(N14&lt;=4,"Acceptable ",IF(N14&lt;=14,"Moderalety Acceptable","Unacceptable"))</f>
        <v>Moderalety Acceptable</v>
      </c>
      <c r="P14" s="78" t="str">
        <f aca="false">IF(N14&lt;=4,"Low Risk",IF(N14&lt;=14,"Medium Risk","High Risk"))</f>
        <v>Medium Risk</v>
      </c>
      <c r="Q14" s="78" t="str">
        <f aca="false">IF(P14="High Risk","Treatment",IF(P14="Medium Risk","Treatment","Tolerate"))</f>
        <v>Treatment</v>
      </c>
      <c r="R14" s="79"/>
      <c r="S14" s="79"/>
      <c r="T14" s="79"/>
      <c r="U14" s="79"/>
      <c r="V14" s="79"/>
    </row>
    <row r="15" customFormat="false" ht="131.3" hidden="false" customHeight="false" outlineLevel="0" collapsed="false">
      <c r="A15" s="73"/>
      <c r="B15" s="73" t="s">
        <v>380</v>
      </c>
      <c r="C15" s="73"/>
      <c r="D15" s="73"/>
      <c r="E15" s="73"/>
      <c r="F15" s="73"/>
      <c r="G15" s="73"/>
      <c r="H15" s="74" t="n">
        <v>3</v>
      </c>
      <c r="I15" s="74" t="n">
        <v>3</v>
      </c>
      <c r="J15" s="75" t="n">
        <f aca="false">H15*I15</f>
        <v>9</v>
      </c>
      <c r="L15" s="76" t="s">
        <v>361</v>
      </c>
      <c r="M15" s="77" t="n">
        <f aca="false">IF(L15="very good", 0.2, IF(L15="good", 0.4, IF(L15="Satisfactory", 0.6, IF(L15="weak", 0.8, IF(L15="non existent", 1)))))</f>
        <v>0.6</v>
      </c>
      <c r="N15" s="75" t="n">
        <f aca="false">J15*M15</f>
        <v>5.4</v>
      </c>
      <c r="O15" s="78" t="str">
        <f aca="false">IF(N15&lt;=4,"Acceptable ",IF(N15&lt;=14,"Moderalety Acceptable","Unacceptable"))</f>
        <v>Moderalety Acceptable</v>
      </c>
      <c r="P15" s="78" t="str">
        <f aca="false">IF(N15&lt;=4,"Low Risk",IF(N15&lt;=14,"Medium Risk","High Risk"))</f>
        <v>Medium Risk</v>
      </c>
      <c r="Q15" s="78" t="str">
        <f aca="false">IF(P15="High Risk","Treatment",IF(P15="Medium Risk","Treatment","Tolerate"))</f>
        <v>Treatment</v>
      </c>
      <c r="R15" s="79"/>
      <c r="S15" s="79"/>
      <c r="T15" s="79"/>
      <c r="U15" s="79"/>
      <c r="V15" s="79"/>
    </row>
    <row r="16" customFormat="false" ht="131.3" hidden="false" customHeight="false" outlineLevel="0" collapsed="false">
      <c r="A16" s="73"/>
      <c r="B16" s="73" t="s">
        <v>381</v>
      </c>
      <c r="C16" s="73"/>
      <c r="D16" s="73"/>
      <c r="E16" s="73"/>
      <c r="F16" s="73"/>
      <c r="G16" s="73"/>
      <c r="H16" s="74" t="n">
        <v>3</v>
      </c>
      <c r="I16" s="74" t="n">
        <v>3</v>
      </c>
      <c r="J16" s="75" t="n">
        <f aca="false">H16*I16</f>
        <v>9</v>
      </c>
      <c r="L16" s="76" t="s">
        <v>361</v>
      </c>
      <c r="M16" s="77" t="n">
        <f aca="false">IF(L16="very good", 0.2, IF(L16="good", 0.4, IF(L16="Satisfactory", 0.6, IF(L16="weak", 0.8, IF(L16="non existent", 1)))))</f>
        <v>0.6</v>
      </c>
      <c r="N16" s="75" t="n">
        <f aca="false">J16*M16</f>
        <v>5.4</v>
      </c>
      <c r="O16" s="78" t="str">
        <f aca="false">IF(N16&lt;=4,"Acceptable ",IF(N16&lt;=14,"Moderalety Acceptable","Unacceptable"))</f>
        <v>Moderalety Acceptable</v>
      </c>
      <c r="P16" s="78" t="str">
        <f aca="false">IF(N16&lt;=4,"Low Risk",IF(N16&lt;=14,"Medium Risk","High Risk"))</f>
        <v>Medium Risk</v>
      </c>
      <c r="Q16" s="78" t="str">
        <f aca="false">IF(P16="High Risk","Treatment",IF(P16="Medium Risk","Treatment","Tolerate"))</f>
        <v>Treatment</v>
      </c>
      <c r="R16" s="79"/>
      <c r="S16" s="79"/>
      <c r="T16" s="79"/>
      <c r="U16" s="79"/>
      <c r="V16" s="79"/>
    </row>
    <row r="17" customFormat="false" ht="131.3" hidden="false" customHeight="false" outlineLevel="0" collapsed="false">
      <c r="A17" s="73"/>
      <c r="B17" s="73" t="s">
        <v>382</v>
      </c>
      <c r="C17" s="73"/>
      <c r="D17" s="73"/>
      <c r="E17" s="73"/>
      <c r="F17" s="73"/>
      <c r="G17" s="73"/>
      <c r="H17" s="74" t="n">
        <v>3</v>
      </c>
      <c r="I17" s="74" t="n">
        <v>3</v>
      </c>
      <c r="J17" s="75" t="n">
        <f aca="false">H17*I17</f>
        <v>9</v>
      </c>
      <c r="L17" s="76" t="s">
        <v>361</v>
      </c>
      <c r="M17" s="77" t="n">
        <f aca="false">IF(L17="very good", 0.2, IF(L17="good", 0.4, IF(L17="Satisfactory", 0.6, IF(L17="weak", 0.8, IF(L17="non existent", 1)))))</f>
        <v>0.6</v>
      </c>
      <c r="N17" s="75" t="n">
        <f aca="false">J17*M17</f>
        <v>5.4</v>
      </c>
      <c r="O17" s="78" t="str">
        <f aca="false">IF(N17&lt;=4,"Acceptable ",IF(N17&lt;=14,"Moderalety Acceptable","Unacceptable"))</f>
        <v>Moderalety Acceptable</v>
      </c>
      <c r="P17" s="78" t="str">
        <f aca="false">IF(N17&lt;=4,"Low Risk",IF(N17&lt;=14,"Medium Risk","High Risk"))</f>
        <v>Medium Risk</v>
      </c>
      <c r="Q17" s="78" t="str">
        <f aca="false">IF(P17="High Risk","Treatment",IF(P17="Medium Risk","Treatment","Tolerate"))</f>
        <v>Treatment</v>
      </c>
      <c r="R17" s="79"/>
      <c r="S17" s="79"/>
      <c r="T17" s="79"/>
      <c r="U17" s="79"/>
      <c r="V17" s="79"/>
    </row>
    <row r="18" customFormat="false" ht="131.3" hidden="false" customHeight="false" outlineLevel="0" collapsed="false">
      <c r="A18" s="73"/>
      <c r="B18" s="73" t="s">
        <v>383</v>
      </c>
      <c r="C18" s="73"/>
      <c r="D18" s="73"/>
      <c r="E18" s="73"/>
      <c r="F18" s="73"/>
      <c r="G18" s="73"/>
      <c r="H18" s="74" t="n">
        <v>3</v>
      </c>
      <c r="I18" s="74" t="n">
        <v>3</v>
      </c>
      <c r="J18" s="75" t="n">
        <f aca="false">H18*I18</f>
        <v>9</v>
      </c>
      <c r="L18" s="76" t="s">
        <v>361</v>
      </c>
      <c r="M18" s="77" t="n">
        <f aca="false">IF(L18="very good", 0.2, IF(L18="good", 0.4, IF(L18="Satisfactory", 0.6, IF(L18="weak", 0.8, IF(L18="non existent", 1)))))</f>
        <v>0.6</v>
      </c>
      <c r="N18" s="75" t="n">
        <f aca="false">J18*M18</f>
        <v>5.4</v>
      </c>
      <c r="O18" s="78" t="str">
        <f aca="false">IF(N18&lt;=4,"Acceptable ",IF(N18&lt;=14,"Moderalety Acceptable","Unacceptable"))</f>
        <v>Moderalety Acceptable</v>
      </c>
      <c r="P18" s="78" t="str">
        <f aca="false">IF(N18&lt;=4,"Low Risk",IF(N18&lt;=14,"Medium Risk","High Risk"))</f>
        <v>Medium Risk</v>
      </c>
      <c r="Q18" s="78" t="str">
        <f aca="false">IF(P18="High Risk","Treatment",IF(P18="Medium Risk","Treatment","Tolerate"))</f>
        <v>Treatment</v>
      </c>
      <c r="R18" s="79"/>
      <c r="S18" s="79"/>
      <c r="T18" s="79"/>
      <c r="U18" s="79"/>
      <c r="V18" s="79"/>
    </row>
    <row r="19" customFormat="false" ht="131.3" hidden="false" customHeight="false" outlineLevel="0" collapsed="false">
      <c r="A19" s="73"/>
      <c r="B19" s="73" t="s">
        <v>384</v>
      </c>
      <c r="C19" s="73"/>
      <c r="D19" s="73"/>
      <c r="E19" s="73"/>
      <c r="F19" s="73"/>
      <c r="G19" s="73"/>
      <c r="H19" s="74" t="n">
        <v>3</v>
      </c>
      <c r="I19" s="74" t="n">
        <v>3</v>
      </c>
      <c r="J19" s="75" t="n">
        <f aca="false">H19*I19</f>
        <v>9</v>
      </c>
      <c r="L19" s="76" t="s">
        <v>361</v>
      </c>
      <c r="M19" s="77" t="n">
        <f aca="false">IF(L19="very good", 0.2, IF(L19="good", 0.4, IF(L19="Satisfactory", 0.6, IF(L19="weak", 0.8, IF(L19="non existent", 1)))))</f>
        <v>0.6</v>
      </c>
      <c r="N19" s="75" t="n">
        <f aca="false">J19*M19</f>
        <v>5.4</v>
      </c>
      <c r="O19" s="78" t="str">
        <f aca="false">IF(N19&lt;=4,"Acceptable ",IF(N19&lt;=14,"Moderalety Acceptable","Unacceptable"))</f>
        <v>Moderalety Acceptable</v>
      </c>
      <c r="P19" s="78" t="str">
        <f aca="false">IF(N19&lt;=4,"Low Risk",IF(N19&lt;=14,"Medium Risk","High Risk"))</f>
        <v>Medium Risk</v>
      </c>
      <c r="Q19" s="78" t="str">
        <f aca="false">IF(P19="High Risk","Treatment",IF(P19="Medium Risk","Treatment","Tolerate"))</f>
        <v>Treatment</v>
      </c>
      <c r="R19" s="79"/>
      <c r="S19" s="79"/>
      <c r="T19" s="79"/>
      <c r="U19" s="79"/>
      <c r="V19" s="79"/>
    </row>
    <row r="20" customFormat="false" ht="131.3" hidden="false" customHeight="false" outlineLevel="0" collapsed="false">
      <c r="A20" s="73"/>
      <c r="B20" s="73" t="s">
        <v>385</v>
      </c>
      <c r="C20" s="73"/>
      <c r="D20" s="73"/>
      <c r="E20" s="73"/>
      <c r="F20" s="73"/>
      <c r="G20" s="73"/>
      <c r="H20" s="74" t="n">
        <v>3</v>
      </c>
      <c r="I20" s="74" t="n">
        <v>3</v>
      </c>
      <c r="J20" s="75" t="n">
        <f aca="false">H20*I20</f>
        <v>9</v>
      </c>
      <c r="L20" s="76" t="s">
        <v>361</v>
      </c>
      <c r="M20" s="77" t="n">
        <f aca="false">IF(L20="very good", 0.2, IF(L20="good", 0.4, IF(L20="Satisfactory", 0.6, IF(L20="weak", 0.8, IF(L20="non existent", 1)))))</f>
        <v>0.6</v>
      </c>
      <c r="N20" s="75" t="n">
        <f aca="false">J20*M20</f>
        <v>5.4</v>
      </c>
      <c r="O20" s="78" t="str">
        <f aca="false">IF(N20&lt;=4,"Acceptable ",IF(N20&lt;=14,"Moderalety Acceptable","Unacceptable"))</f>
        <v>Moderalety Acceptable</v>
      </c>
      <c r="P20" s="78" t="str">
        <f aca="false">IF(N20&lt;=4,"Low Risk",IF(N20&lt;=14,"Medium Risk","High Risk"))</f>
        <v>Medium Risk</v>
      </c>
      <c r="Q20" s="78" t="str">
        <f aca="false">IF(P20="High Risk","Treatment",IF(P20="Medium Risk","Treatment","Tolerate"))</f>
        <v>Treatment</v>
      </c>
      <c r="R20" s="79"/>
      <c r="S20" s="79"/>
      <c r="T20" s="79"/>
      <c r="U20" s="79"/>
      <c r="V20" s="79"/>
    </row>
    <row r="21" customFormat="false" ht="131.3" hidden="false" customHeight="false" outlineLevel="0" collapsed="false">
      <c r="A21" s="73"/>
      <c r="B21" s="73" t="s">
        <v>386</v>
      </c>
      <c r="C21" s="73"/>
      <c r="D21" s="73"/>
      <c r="E21" s="73"/>
      <c r="F21" s="73"/>
      <c r="G21" s="73"/>
      <c r="H21" s="74" t="n">
        <v>3</v>
      </c>
      <c r="I21" s="74" t="n">
        <v>3</v>
      </c>
      <c r="J21" s="75" t="n">
        <f aca="false">H21*I21</f>
        <v>9</v>
      </c>
      <c r="L21" s="76" t="s">
        <v>361</v>
      </c>
      <c r="M21" s="77" t="n">
        <f aca="false">IF(L21="very good", 0.2, IF(L21="good", 0.4, IF(L21="Satisfactory", 0.6, IF(L21="weak", 0.8, IF(L21="non existent", 1)))))</f>
        <v>0.6</v>
      </c>
      <c r="N21" s="75" t="n">
        <f aca="false">J21*M21</f>
        <v>5.4</v>
      </c>
      <c r="O21" s="78" t="str">
        <f aca="false">IF(N21&lt;=4,"Acceptable ",IF(N21&lt;=14,"Moderalety Acceptable","Unacceptable"))</f>
        <v>Moderalety Acceptable</v>
      </c>
      <c r="P21" s="78" t="str">
        <f aca="false">IF(N21&lt;=4,"Low Risk",IF(N21&lt;=14,"Medium Risk","High Risk"))</f>
        <v>Medium Risk</v>
      </c>
      <c r="Q21" s="78" t="str">
        <f aca="false">IF(P21="High Risk","Treatment",IF(P21="Medium Risk","Treatment","Tolerate"))</f>
        <v>Treatment</v>
      </c>
      <c r="R21" s="79"/>
      <c r="S21" s="79"/>
      <c r="T21" s="79"/>
      <c r="U21" s="79"/>
      <c r="V21" s="79"/>
    </row>
    <row r="22" customFormat="false" ht="131.3" hidden="false" customHeight="false" outlineLevel="0" collapsed="false">
      <c r="A22" s="73"/>
      <c r="B22" s="73" t="s">
        <v>387</v>
      </c>
      <c r="C22" s="73"/>
      <c r="D22" s="73"/>
      <c r="E22" s="73"/>
      <c r="F22" s="73"/>
      <c r="G22" s="73"/>
      <c r="H22" s="74" t="n">
        <v>3</v>
      </c>
      <c r="I22" s="74" t="n">
        <v>3</v>
      </c>
      <c r="J22" s="75" t="n">
        <f aca="false">H22*I22</f>
        <v>9</v>
      </c>
      <c r="L22" s="76" t="s">
        <v>361</v>
      </c>
      <c r="M22" s="77" t="n">
        <f aca="false">IF(L22="very good", 0.2, IF(L22="good", 0.4, IF(L22="Satisfactory", 0.6, IF(L22="weak", 0.8, IF(L22="non existent", 1)))))</f>
        <v>0.6</v>
      </c>
      <c r="N22" s="75" t="n">
        <f aca="false">J22*M22</f>
        <v>5.4</v>
      </c>
      <c r="O22" s="78" t="str">
        <f aca="false">IF(N22&lt;=4,"Acceptable ",IF(N22&lt;=14,"Moderalety Acceptable","Unacceptable"))</f>
        <v>Moderalety Acceptable</v>
      </c>
      <c r="P22" s="78" t="str">
        <f aca="false">IF(N22&lt;=4,"Low Risk",IF(N22&lt;=14,"Medium Risk","High Risk"))</f>
        <v>Medium Risk</v>
      </c>
      <c r="Q22" s="78" t="str">
        <f aca="false">IF(P22="High Risk","Treatment",IF(P22="Medium Risk","Treatment","Tolerate"))</f>
        <v>Treatment</v>
      </c>
      <c r="R22" s="79"/>
      <c r="S22" s="79"/>
      <c r="T22" s="79"/>
      <c r="U22" s="79"/>
      <c r="V22" s="79"/>
    </row>
    <row r="23" customFormat="false" ht="131.3" hidden="false" customHeight="false" outlineLevel="0" collapsed="false">
      <c r="A23" s="73"/>
      <c r="B23" s="73" t="s">
        <v>388</v>
      </c>
      <c r="C23" s="73"/>
      <c r="D23" s="73"/>
      <c r="E23" s="73"/>
      <c r="F23" s="73"/>
      <c r="G23" s="73"/>
      <c r="H23" s="74" t="n">
        <v>3</v>
      </c>
      <c r="I23" s="74" t="n">
        <v>3</v>
      </c>
      <c r="J23" s="75" t="n">
        <f aca="false">H23*I23</f>
        <v>9</v>
      </c>
      <c r="L23" s="76" t="s">
        <v>361</v>
      </c>
      <c r="M23" s="77" t="n">
        <f aca="false">IF(L23="very good", 0.2, IF(L23="good", 0.4, IF(L23="Satisfactory", 0.6, IF(L23="weak", 0.8, IF(L23="non existent", 1)))))</f>
        <v>0.6</v>
      </c>
      <c r="N23" s="75" t="n">
        <f aca="false">J23*M23</f>
        <v>5.4</v>
      </c>
      <c r="O23" s="78" t="str">
        <f aca="false">IF(N23&lt;=4,"Acceptable ",IF(N23&lt;=14,"Moderalety Acceptable","Unacceptable"))</f>
        <v>Moderalety Acceptable</v>
      </c>
      <c r="P23" s="78" t="str">
        <f aca="false">IF(N23&lt;=4,"Low Risk",IF(N23&lt;=14,"Medium Risk","High Risk"))</f>
        <v>Medium Risk</v>
      </c>
      <c r="Q23" s="78" t="str">
        <f aca="false">IF(P23="High Risk","Treatment",IF(P23="Medium Risk","Treatment","Tolerate"))</f>
        <v>Treatment</v>
      </c>
      <c r="R23" s="79"/>
      <c r="S23" s="79"/>
      <c r="T23" s="79"/>
      <c r="U23" s="79"/>
      <c r="V23" s="79"/>
    </row>
    <row r="24" customFormat="false" ht="131.3" hidden="false" customHeight="false" outlineLevel="0" collapsed="false">
      <c r="B24" s="73" t="s">
        <v>389</v>
      </c>
      <c r="H24" s="74" t="n">
        <v>3</v>
      </c>
      <c r="I24" s="74" t="n">
        <v>3</v>
      </c>
      <c r="J24" s="75" t="n">
        <f aca="false">H24*I24</f>
        <v>9</v>
      </c>
      <c r="L24" s="76" t="s">
        <v>361</v>
      </c>
      <c r="M24" s="77" t="n">
        <f aca="false">IF(L24="very good", 0.2, IF(L24="good", 0.4, IF(L24="Satisfactory", 0.6, IF(L24="weak", 0.8, IF(L24="non existent", 1)))))</f>
        <v>0.6</v>
      </c>
      <c r="N24" s="75" t="n">
        <f aca="false">J24*M24</f>
        <v>5.4</v>
      </c>
      <c r="O24" s="78" t="str">
        <f aca="false">IF(N24&lt;=4,"Acceptable ",IF(N24&lt;=14,"Moderalety Acceptable","Unacceptable"))</f>
        <v>Moderalety Acceptable</v>
      </c>
      <c r="P24" s="78" t="str">
        <f aca="false">IF(N24&lt;=4,"Low Risk",IF(N24&lt;=14,"Medium Risk","High Risk"))</f>
        <v>Medium Risk</v>
      </c>
      <c r="Q24" s="78" t="str">
        <f aca="false">IF(P24="High Risk","Treatment",IF(P24="Medium Risk","Treatment","Tolerate"))</f>
        <v>Treatment</v>
      </c>
      <c r="R24" s="79"/>
      <c r="S24" s="79"/>
      <c r="T24" s="79"/>
      <c r="U24" s="79"/>
      <c r="V24" s="79"/>
    </row>
    <row r="25" customFormat="false" ht="131.3" hidden="false" customHeight="false" outlineLevel="0" collapsed="false">
      <c r="B25" s="73" t="s">
        <v>390</v>
      </c>
      <c r="H25" s="74" t="n">
        <v>3</v>
      </c>
      <c r="I25" s="74" t="n">
        <v>3</v>
      </c>
      <c r="J25" s="75" t="n">
        <f aca="false">H25*I25</f>
        <v>9</v>
      </c>
      <c r="L25" s="76" t="s">
        <v>361</v>
      </c>
      <c r="M25" s="77" t="n">
        <f aca="false">IF(L25="very good", 0.2, IF(L25="good", 0.4, IF(L25="Satisfactory", 0.6, IF(L25="weak", 0.8, IF(L25="non existent", 1)))))</f>
        <v>0.6</v>
      </c>
      <c r="N25" s="75" t="n">
        <f aca="false">J25*M25</f>
        <v>5.4</v>
      </c>
      <c r="O25" s="78" t="str">
        <f aca="false">IF(N25&lt;=4,"Acceptable ",IF(N25&lt;=14,"Moderalety Acceptable","Unacceptable"))</f>
        <v>Moderalety Acceptable</v>
      </c>
      <c r="P25" s="78" t="str">
        <f aca="false">IF(N25&lt;=4,"Low Risk",IF(N25&lt;=14,"Medium Risk","High Risk"))</f>
        <v>Medium Risk</v>
      </c>
      <c r="Q25" s="78" t="str">
        <f aca="false">IF(P25="High Risk","Treatment",IF(P25="Medium Risk","Treatment","Tolerate"))</f>
        <v>Treatment</v>
      </c>
      <c r="R25" s="79"/>
      <c r="S25" s="79"/>
      <c r="T25" s="79"/>
      <c r="U25" s="79"/>
      <c r="V25" s="79"/>
    </row>
    <row r="26" customFormat="false" ht="131.3" hidden="false" customHeight="false" outlineLevel="0" collapsed="false">
      <c r="B26" s="73" t="s">
        <v>391</v>
      </c>
      <c r="H26" s="74" t="n">
        <v>3</v>
      </c>
      <c r="I26" s="74" t="n">
        <v>3</v>
      </c>
      <c r="J26" s="75" t="n">
        <f aca="false">H26*I26</f>
        <v>9</v>
      </c>
      <c r="L26" s="76" t="s">
        <v>361</v>
      </c>
      <c r="M26" s="77" t="n">
        <f aca="false">IF(L26="very good", 0.2, IF(L26="good", 0.4, IF(L26="Satisfactory", 0.6, IF(L26="weak", 0.8, IF(L26="non existent", 1)))))</f>
        <v>0.6</v>
      </c>
      <c r="N26" s="75" t="n">
        <f aca="false">J26*M26</f>
        <v>5.4</v>
      </c>
      <c r="O26" s="78" t="str">
        <f aca="false">IF(N26&lt;=4,"Acceptable ",IF(N26&lt;=14,"Moderalety Acceptable","Unacceptable"))</f>
        <v>Moderalety Acceptable</v>
      </c>
      <c r="P26" s="78" t="str">
        <f aca="false">IF(N26&lt;=4,"Low Risk",IF(N26&lt;=14,"Medium Risk","High Risk"))</f>
        <v>Medium Risk</v>
      </c>
      <c r="Q26" s="78" t="str">
        <f aca="false">IF(P26="High Risk","Treatment",IF(P26="Medium Risk","Treatment","Tolerate"))</f>
        <v>Treatment</v>
      </c>
      <c r="R26" s="79"/>
      <c r="S26" s="79"/>
      <c r="T26" s="79"/>
      <c r="U26" s="79"/>
      <c r="V26" s="79"/>
    </row>
    <row r="27" customFormat="false" ht="131.3" hidden="false" customHeight="false" outlineLevel="0" collapsed="false">
      <c r="B27" s="73" t="s">
        <v>392</v>
      </c>
      <c r="H27" s="74" t="n">
        <v>3</v>
      </c>
      <c r="I27" s="74" t="n">
        <v>3</v>
      </c>
      <c r="J27" s="75" t="n">
        <f aca="false">H27*I27</f>
        <v>9</v>
      </c>
      <c r="L27" s="76" t="s">
        <v>361</v>
      </c>
      <c r="M27" s="77" t="n">
        <f aca="false">IF(L27="very good", 0.2, IF(L27="good", 0.4, IF(L27="Satisfactory", 0.6, IF(L27="weak", 0.8, IF(L27="non existent", 1)))))</f>
        <v>0.6</v>
      </c>
      <c r="N27" s="75" t="n">
        <f aca="false">J27*M27</f>
        <v>5.4</v>
      </c>
      <c r="O27" s="78" t="str">
        <f aca="false">IF(N27&lt;=4,"Acceptable ",IF(N27&lt;=14,"Moderalety Acceptable","Unacceptable"))</f>
        <v>Moderalety Acceptable</v>
      </c>
      <c r="P27" s="78" t="str">
        <f aca="false">IF(N27&lt;=4,"Low Risk",IF(N27&lt;=14,"Medium Risk","High Risk"))</f>
        <v>Medium Risk</v>
      </c>
      <c r="Q27" s="78" t="str">
        <f aca="false">IF(P27="High Risk","Treatment",IF(P27="Medium Risk","Treatment","Tolerate"))</f>
        <v>Treatment</v>
      </c>
      <c r="R27" s="79"/>
      <c r="S27" s="79"/>
      <c r="T27" s="79"/>
      <c r="U27" s="79"/>
      <c r="V27" s="79"/>
    </row>
    <row r="28" customFormat="false" ht="131.3" hidden="false" customHeight="false" outlineLevel="0" collapsed="false">
      <c r="B28" s="73" t="s">
        <v>393</v>
      </c>
      <c r="H28" s="74" t="n">
        <v>3</v>
      </c>
      <c r="I28" s="74" t="n">
        <v>3</v>
      </c>
      <c r="J28" s="75" t="n">
        <f aca="false">H28*I28</f>
        <v>9</v>
      </c>
      <c r="L28" s="76" t="s">
        <v>361</v>
      </c>
      <c r="M28" s="77" t="n">
        <f aca="false">IF(L28="very good", 0.2, IF(L28="good", 0.4, IF(L28="Satisfactory", 0.6, IF(L28="weak", 0.8, IF(L28="non existent", 1)))))</f>
        <v>0.6</v>
      </c>
      <c r="N28" s="75" t="n">
        <f aca="false">J28*M28</f>
        <v>5.4</v>
      </c>
      <c r="O28" s="78" t="str">
        <f aca="false">IF(N28&lt;=4,"Acceptable ",IF(N28&lt;=14,"Moderalety Acceptable","Unacceptable"))</f>
        <v>Moderalety Acceptable</v>
      </c>
      <c r="P28" s="78" t="str">
        <f aca="false">IF(N28&lt;=4,"Low Risk",IF(N28&lt;=14,"Medium Risk","High Risk"))</f>
        <v>Medium Risk</v>
      </c>
      <c r="Q28" s="78" t="str">
        <f aca="false">IF(P28="High Risk","Treatment",IF(P28="Medium Risk","Treatment","Tolerate"))</f>
        <v>Treatment</v>
      </c>
      <c r="R28" s="79"/>
      <c r="S28" s="79"/>
      <c r="T28" s="79"/>
      <c r="U28" s="79"/>
      <c r="V28" s="79"/>
    </row>
    <row r="29" customFormat="false" ht="131.3" hidden="false" customHeight="false" outlineLevel="0" collapsed="false">
      <c r="B29" s="73" t="s">
        <v>394</v>
      </c>
      <c r="H29" s="74" t="n">
        <v>3</v>
      </c>
      <c r="I29" s="74" t="n">
        <v>3</v>
      </c>
      <c r="J29" s="75" t="n">
        <f aca="false">H29*I29</f>
        <v>9</v>
      </c>
      <c r="L29" s="76" t="s">
        <v>361</v>
      </c>
      <c r="M29" s="77" t="n">
        <f aca="false">IF(L29="very good", 0.2, IF(L29="good", 0.4, IF(L29="Satisfactory", 0.6, IF(L29="weak", 0.8, IF(L29="non existent", 1)))))</f>
        <v>0.6</v>
      </c>
      <c r="N29" s="75" t="n">
        <f aca="false">J29*M29</f>
        <v>5.4</v>
      </c>
      <c r="O29" s="78" t="str">
        <f aca="false">IF(N29&lt;=4,"Acceptable ",IF(N29&lt;=14,"Moderalety Acceptable","Unacceptable"))</f>
        <v>Moderalety Acceptable</v>
      </c>
      <c r="P29" s="78" t="str">
        <f aca="false">IF(N29&lt;=4,"Low Risk",IF(N29&lt;=14,"Medium Risk","High Risk"))</f>
        <v>Medium Risk</v>
      </c>
      <c r="Q29" s="78" t="str">
        <f aca="false">IF(P29="High Risk","Treatment",IF(P29="Medium Risk","Treatment","Tolerate"))</f>
        <v>Treatment</v>
      </c>
      <c r="R29" s="79"/>
      <c r="S29" s="79"/>
      <c r="T29" s="79"/>
      <c r="U29" s="79"/>
      <c r="V29" s="79"/>
    </row>
    <row r="30" customFormat="false" ht="131.3" hidden="false" customHeight="false" outlineLevel="0" collapsed="false">
      <c r="B30" s="73" t="s">
        <v>395</v>
      </c>
      <c r="H30" s="74" t="n">
        <v>3</v>
      </c>
      <c r="I30" s="74" t="n">
        <v>3</v>
      </c>
      <c r="J30" s="75" t="n">
        <f aca="false">H30*I30</f>
        <v>9</v>
      </c>
      <c r="L30" s="76" t="s">
        <v>361</v>
      </c>
      <c r="M30" s="77" t="n">
        <f aca="false">IF(L30="very good", 0.2, IF(L30="good", 0.4, IF(L30="Satisfactory", 0.6, IF(L30="weak", 0.8, IF(L30="non existent", 1)))))</f>
        <v>0.6</v>
      </c>
      <c r="N30" s="75" t="n">
        <f aca="false">J30*M30</f>
        <v>5.4</v>
      </c>
      <c r="O30" s="78" t="str">
        <f aca="false">IF(N30&lt;=4,"Acceptable ",IF(N30&lt;=14,"Moderalety Acceptable","Unacceptable"))</f>
        <v>Moderalety Acceptable</v>
      </c>
      <c r="P30" s="78" t="str">
        <f aca="false">IF(N30&lt;=4,"Low Risk",IF(N30&lt;=14,"Medium Risk","High Risk"))</f>
        <v>Medium Risk</v>
      </c>
      <c r="Q30" s="78" t="str">
        <f aca="false">IF(P30="High Risk","Treatment",IF(P30="Medium Risk","Treatment","Tolerate"))</f>
        <v>Treatment</v>
      </c>
      <c r="R30" s="79"/>
      <c r="S30" s="79"/>
      <c r="T30" s="79"/>
      <c r="U30" s="79"/>
      <c r="V30" s="79"/>
    </row>
    <row r="31" customFormat="false" ht="131.3" hidden="false" customHeight="false" outlineLevel="0" collapsed="false">
      <c r="B31" s="73" t="s">
        <v>396</v>
      </c>
      <c r="H31" s="74" t="n">
        <v>3</v>
      </c>
      <c r="I31" s="74" t="n">
        <v>3</v>
      </c>
      <c r="J31" s="75" t="n">
        <f aca="false">H31*I31</f>
        <v>9</v>
      </c>
      <c r="L31" s="76" t="s">
        <v>361</v>
      </c>
      <c r="M31" s="77" t="n">
        <f aca="false">IF(L31="very good", 0.2, IF(L31="good", 0.4, IF(L31="Satisfactory", 0.6, IF(L31="weak", 0.8, IF(L31="non existent", 1)))))</f>
        <v>0.6</v>
      </c>
      <c r="N31" s="75" t="n">
        <f aca="false">J31*M31</f>
        <v>5.4</v>
      </c>
      <c r="O31" s="78" t="str">
        <f aca="false">IF(N31&lt;=4,"Acceptable ",IF(N31&lt;=14,"Moderalety Acceptable","Unacceptable"))</f>
        <v>Moderalety Acceptable</v>
      </c>
      <c r="P31" s="78" t="str">
        <f aca="false">IF(N31&lt;=4,"Low Risk",IF(N31&lt;=14,"Medium Risk","High Risk"))</f>
        <v>Medium Risk</v>
      </c>
      <c r="Q31" s="78" t="str">
        <f aca="false">IF(P31="High Risk","Treatment",IF(P31="Medium Risk","Treatment","Tolerate"))</f>
        <v>Treatment</v>
      </c>
      <c r="R31" s="79"/>
      <c r="S31" s="79"/>
      <c r="T31" s="79"/>
      <c r="U31" s="79"/>
      <c r="V31" s="79"/>
    </row>
    <row r="32" customFormat="false" ht="131.3" hidden="false" customHeight="false" outlineLevel="0" collapsed="false">
      <c r="B32" s="73" t="s">
        <v>397</v>
      </c>
      <c r="H32" s="74" t="n">
        <v>3</v>
      </c>
      <c r="I32" s="74" t="n">
        <v>3</v>
      </c>
      <c r="J32" s="75" t="n">
        <f aca="false">H32*I32</f>
        <v>9</v>
      </c>
      <c r="L32" s="76" t="s">
        <v>361</v>
      </c>
      <c r="M32" s="77" t="n">
        <f aca="false">IF(L32="very good", 0.2, IF(L32="good", 0.4, IF(L32="Satisfactory", 0.6, IF(L32="weak", 0.8, IF(L32="non existent", 1)))))</f>
        <v>0.6</v>
      </c>
      <c r="N32" s="75" t="n">
        <f aca="false">J32*M32</f>
        <v>5.4</v>
      </c>
      <c r="O32" s="78" t="str">
        <f aca="false">IF(N32&lt;=4,"Acceptable ",IF(N32&lt;=14,"Moderalety Acceptable","Unacceptable"))</f>
        <v>Moderalety Acceptable</v>
      </c>
      <c r="P32" s="78" t="str">
        <f aca="false">IF(N32&lt;=4,"Low Risk",IF(N32&lt;=14,"Medium Risk","High Risk"))</f>
        <v>Medium Risk</v>
      </c>
      <c r="Q32" s="78" t="str">
        <f aca="false">IF(P32="High Risk","Treatment",IF(P32="Medium Risk","Treatment","Tolerate"))</f>
        <v>Treatment</v>
      </c>
      <c r="R32" s="79"/>
      <c r="S32" s="79"/>
      <c r="T32" s="79"/>
      <c r="U32" s="79"/>
      <c r="V32" s="79"/>
    </row>
    <row r="33" customFormat="false" ht="131.3" hidden="false" customHeight="false" outlineLevel="0" collapsed="false">
      <c r="B33" s="73" t="s">
        <v>398</v>
      </c>
      <c r="H33" s="74" t="n">
        <v>3</v>
      </c>
      <c r="I33" s="74" t="n">
        <v>3</v>
      </c>
      <c r="J33" s="75" t="n">
        <f aca="false">H33*I33</f>
        <v>9</v>
      </c>
      <c r="L33" s="76" t="s">
        <v>361</v>
      </c>
      <c r="M33" s="77" t="n">
        <f aca="false">IF(L33="very good", 0.2, IF(L33="good", 0.4, IF(L33="Satisfactory", 0.6, IF(L33="weak", 0.8, IF(L33="non existent", 1)))))</f>
        <v>0.6</v>
      </c>
      <c r="N33" s="75" t="n">
        <f aca="false">J33*M33</f>
        <v>5.4</v>
      </c>
      <c r="O33" s="78" t="str">
        <f aca="false">IF(N33&lt;=4,"Acceptable ",IF(N33&lt;=14,"Moderalety Acceptable","Unacceptable"))</f>
        <v>Moderalety Acceptable</v>
      </c>
      <c r="P33" s="78" t="str">
        <f aca="false">IF(N33&lt;=4,"Low Risk",IF(N33&lt;=14,"Medium Risk","High Risk"))</f>
        <v>Medium Risk</v>
      </c>
      <c r="Q33" s="78" t="str">
        <f aca="false">IF(P33="High Risk","Treatment",IF(P33="Medium Risk","Treatment","Tolerate"))</f>
        <v>Treatment</v>
      </c>
      <c r="R33" s="79"/>
      <c r="S33" s="79"/>
      <c r="T33" s="79"/>
      <c r="U33" s="79"/>
      <c r="V33" s="79"/>
    </row>
    <row r="34" customFormat="false" ht="131.3" hidden="false" customHeight="false" outlineLevel="0" collapsed="false">
      <c r="B34" s="73" t="s">
        <v>399</v>
      </c>
      <c r="H34" s="74" t="n">
        <v>3</v>
      </c>
      <c r="I34" s="74" t="n">
        <v>3</v>
      </c>
      <c r="J34" s="75" t="n">
        <f aca="false">H34*I34</f>
        <v>9</v>
      </c>
      <c r="L34" s="76" t="s">
        <v>361</v>
      </c>
      <c r="M34" s="77" t="n">
        <f aca="false">IF(L34="very good", 0.2, IF(L34="good", 0.4, IF(L34="Satisfactory", 0.6, IF(L34="weak", 0.8, IF(L34="non existent", 1)))))</f>
        <v>0.6</v>
      </c>
      <c r="N34" s="75" t="n">
        <f aca="false">J34*M34</f>
        <v>5.4</v>
      </c>
      <c r="O34" s="78" t="str">
        <f aca="false">IF(N34&lt;=4,"Acceptable ",IF(N34&lt;=14,"Moderalety Acceptable","Unacceptable"))</f>
        <v>Moderalety Acceptable</v>
      </c>
      <c r="P34" s="78" t="str">
        <f aca="false">IF(N34&lt;=4,"Low Risk",IF(N34&lt;=14,"Medium Risk","High Risk"))</f>
        <v>Medium Risk</v>
      </c>
      <c r="Q34" s="78" t="str">
        <f aca="false">IF(P34="High Risk","Treatment",IF(P34="Medium Risk","Treatment","Tolerate"))</f>
        <v>Treatment</v>
      </c>
      <c r="R34" s="79"/>
      <c r="S34" s="79"/>
      <c r="T34" s="79"/>
      <c r="U34" s="79"/>
      <c r="V34" s="79"/>
    </row>
    <row r="35" customFormat="false" ht="131.3" hidden="false" customHeight="false" outlineLevel="0" collapsed="false">
      <c r="B35" s="73" t="s">
        <v>400</v>
      </c>
      <c r="H35" s="74" t="n">
        <v>3</v>
      </c>
      <c r="I35" s="74" t="n">
        <v>3</v>
      </c>
      <c r="J35" s="75" t="n">
        <f aca="false">H35*I35</f>
        <v>9</v>
      </c>
      <c r="L35" s="76" t="s">
        <v>361</v>
      </c>
      <c r="M35" s="77" t="n">
        <f aca="false">IF(L35="very good", 0.2, IF(L35="good", 0.4, IF(L35="Satisfactory", 0.6, IF(L35="weak", 0.8, IF(L35="non existent", 1)))))</f>
        <v>0.6</v>
      </c>
      <c r="N35" s="75" t="n">
        <f aca="false">J35*M35</f>
        <v>5.4</v>
      </c>
      <c r="O35" s="78" t="str">
        <f aca="false">IF(N35&lt;=4,"Acceptable ",IF(N35&lt;=14,"Moderalety Acceptable","Unacceptable"))</f>
        <v>Moderalety Acceptable</v>
      </c>
      <c r="P35" s="78" t="str">
        <f aca="false">IF(N35&lt;=4,"Low Risk",IF(N35&lt;=14,"Medium Risk","High Risk"))</f>
        <v>Medium Risk</v>
      </c>
      <c r="Q35" s="78" t="str">
        <f aca="false">IF(P35="High Risk","Treatment",IF(P35="Medium Risk","Treatment","Tolerate"))</f>
        <v>Treatment</v>
      </c>
      <c r="R35" s="79"/>
      <c r="S35" s="79"/>
      <c r="T35" s="79"/>
      <c r="U35" s="79"/>
      <c r="V35" s="79"/>
    </row>
    <row r="36" customFormat="false" ht="131.3" hidden="false" customHeight="false" outlineLevel="0" collapsed="false">
      <c r="B36" s="73" t="s">
        <v>401</v>
      </c>
      <c r="H36" s="74" t="n">
        <v>3</v>
      </c>
      <c r="I36" s="74" t="n">
        <v>3</v>
      </c>
      <c r="J36" s="75" t="n">
        <f aca="false">H36*I36</f>
        <v>9</v>
      </c>
      <c r="L36" s="76" t="s">
        <v>361</v>
      </c>
      <c r="M36" s="77" t="n">
        <f aca="false">IF(L36="very good", 0.2, IF(L36="good", 0.4, IF(L36="Satisfactory", 0.6, IF(L36="weak", 0.8, IF(L36="non existent", 1)))))</f>
        <v>0.6</v>
      </c>
      <c r="N36" s="75" t="n">
        <f aca="false">J36*M36</f>
        <v>5.4</v>
      </c>
      <c r="O36" s="78" t="str">
        <f aca="false">IF(N36&lt;=4,"Acceptable ",IF(N36&lt;=14,"Moderalety Acceptable","Unacceptable"))</f>
        <v>Moderalety Acceptable</v>
      </c>
      <c r="P36" s="78" t="str">
        <f aca="false">IF(N36&lt;=4,"Low Risk",IF(N36&lt;=14,"Medium Risk","High Risk"))</f>
        <v>Medium Risk</v>
      </c>
      <c r="Q36" s="78" t="str">
        <f aca="false">IF(P36="High Risk","Treatment",IF(P36="Medium Risk","Treatment","Tolerate"))</f>
        <v>Treatment</v>
      </c>
      <c r="R36" s="79"/>
      <c r="S36" s="79"/>
      <c r="T36" s="79"/>
      <c r="U36" s="79"/>
      <c r="V36" s="79"/>
    </row>
    <row r="37" customFormat="false" ht="131.3" hidden="false" customHeight="false" outlineLevel="0" collapsed="false">
      <c r="H37" s="74" t="n">
        <v>3</v>
      </c>
      <c r="I37" s="74" t="n">
        <v>3</v>
      </c>
      <c r="J37" s="75" t="n">
        <f aca="false">H37*I37</f>
        <v>9</v>
      </c>
      <c r="L37" s="76" t="s">
        <v>361</v>
      </c>
      <c r="M37" s="77" t="n">
        <f aca="false">IF(L37="very good", 0.2, IF(L37="good", 0.4, IF(L37="Satisfactory", 0.6, IF(L37="weak", 0.8, IF(L37="non existent", 1)))))</f>
        <v>0.6</v>
      </c>
      <c r="N37" s="75" t="n">
        <f aca="false">J37*M37</f>
        <v>5.4</v>
      </c>
      <c r="O37" s="78" t="str">
        <f aca="false">IF(N37&lt;=4,"Acceptable ",IF(N37&lt;=14,"Moderalety Acceptable","Unacceptable"))</f>
        <v>Moderalety Acceptable</v>
      </c>
      <c r="P37" s="78" t="str">
        <f aca="false">IF(N37&lt;=4,"Low Risk",IF(N37&lt;=14,"Medium Risk","High Risk"))</f>
        <v>Medium Risk</v>
      </c>
      <c r="Q37" s="78" t="str">
        <f aca="false">IF(P37="High Risk","Treatment",IF(P37="Medium Risk","Treatment","Tolerate"))</f>
        <v>Treatment</v>
      </c>
      <c r="R37" s="79"/>
      <c r="S37" s="79"/>
      <c r="T37" s="79"/>
      <c r="U37" s="79"/>
      <c r="V37" s="79"/>
    </row>
    <row r="38" customFormat="false" ht="131.3" hidden="false" customHeight="false" outlineLevel="0" collapsed="false">
      <c r="H38" s="74" t="n">
        <v>3</v>
      </c>
      <c r="I38" s="74" t="n">
        <v>3</v>
      </c>
      <c r="J38" s="75" t="n">
        <f aca="false">H38*I38</f>
        <v>9</v>
      </c>
      <c r="L38" s="76" t="s">
        <v>361</v>
      </c>
      <c r="M38" s="77" t="n">
        <f aca="false">IF(L38="very good", 0.2, IF(L38="good", 0.4, IF(L38="Satisfactory", 0.6, IF(L38="weak", 0.8, IF(L38="non existent", 1)))))</f>
        <v>0.6</v>
      </c>
      <c r="N38" s="75" t="n">
        <f aca="false">J38*M38</f>
        <v>5.4</v>
      </c>
      <c r="O38" s="78" t="str">
        <f aca="false">IF(N38&lt;=4,"Acceptable ",IF(N38&lt;=14,"Moderalety Acceptable","Unacceptable"))</f>
        <v>Moderalety Acceptable</v>
      </c>
      <c r="P38" s="78" t="str">
        <f aca="false">IF(N38&lt;=4,"Low Risk",IF(N38&lt;=14,"Medium Risk","High Risk"))</f>
        <v>Medium Risk</v>
      </c>
      <c r="Q38" s="78" t="str">
        <f aca="false">IF(P38="High Risk","Treatment",IF(P38="Medium Risk","Treatment","Tolerate"))</f>
        <v>Treatment</v>
      </c>
      <c r="R38" s="79"/>
      <c r="S38" s="79"/>
      <c r="T38" s="79"/>
      <c r="U38" s="79"/>
      <c r="V38" s="79"/>
    </row>
    <row r="39" customFormat="false" ht="131.3" hidden="false" customHeight="false" outlineLevel="0" collapsed="false">
      <c r="H39" s="74" t="n">
        <v>3</v>
      </c>
      <c r="I39" s="74" t="n">
        <v>3</v>
      </c>
      <c r="J39" s="75" t="n">
        <f aca="false">H39*I39</f>
        <v>9</v>
      </c>
      <c r="L39" s="76" t="s">
        <v>361</v>
      </c>
      <c r="M39" s="77" t="n">
        <f aca="false">IF(L39="very good", 0.2, IF(L39="good", 0.4, IF(L39="Satisfactory", 0.6, IF(L39="weak", 0.8, IF(L39="non existent", 1)))))</f>
        <v>0.6</v>
      </c>
      <c r="N39" s="75" t="n">
        <f aca="false">J39*M39</f>
        <v>5.4</v>
      </c>
      <c r="O39" s="78" t="str">
        <f aca="false">IF(N39&lt;=4,"Acceptable ",IF(N39&lt;=14,"Moderalety Acceptable","Unacceptable"))</f>
        <v>Moderalety Acceptable</v>
      </c>
      <c r="P39" s="78" t="str">
        <f aca="false">IF(N39&lt;=4,"Low Risk",IF(N39&lt;=14,"Medium Risk","High Risk"))</f>
        <v>Medium Risk</v>
      </c>
      <c r="Q39" s="78" t="str">
        <f aca="false">IF(P39="High Risk","Treatment",IF(P39="Medium Risk","Treatment","Tolerate"))</f>
        <v>Treatment</v>
      </c>
      <c r="R39" s="79"/>
      <c r="S39" s="79"/>
      <c r="T39" s="79"/>
      <c r="U39" s="79"/>
      <c r="V39" s="79"/>
    </row>
    <row r="40" customFormat="false" ht="131.3" hidden="false" customHeight="false" outlineLevel="0" collapsed="false">
      <c r="H40" s="74" t="n">
        <v>3</v>
      </c>
      <c r="I40" s="74" t="n">
        <v>3</v>
      </c>
      <c r="J40" s="75" t="n">
        <f aca="false">H40*I40</f>
        <v>9</v>
      </c>
      <c r="L40" s="76" t="s">
        <v>361</v>
      </c>
      <c r="M40" s="77" t="n">
        <f aca="false">IF(L40="very good", 0.2, IF(L40="good", 0.4, IF(L40="Satisfactory", 0.6, IF(L40="weak", 0.8, IF(L40="non existent", 1)))))</f>
        <v>0.6</v>
      </c>
      <c r="N40" s="75" t="n">
        <f aca="false">J40*M40</f>
        <v>5.4</v>
      </c>
      <c r="O40" s="78" t="str">
        <f aca="false">IF(N40&lt;=4,"Acceptable ",IF(N40&lt;=14,"Moderalety Acceptable","Unacceptable"))</f>
        <v>Moderalety Acceptable</v>
      </c>
      <c r="P40" s="78" t="str">
        <f aca="false">IF(N40&lt;=4,"Low Risk",IF(N40&lt;=14,"Medium Risk","High Risk"))</f>
        <v>Medium Risk</v>
      </c>
      <c r="Q40" s="78" t="str">
        <f aca="false">IF(P40="High Risk","Treatment",IF(P40="Medium Risk","Treatment","Tolerate"))</f>
        <v>Treatment</v>
      </c>
      <c r="R40" s="79"/>
      <c r="S40" s="79"/>
      <c r="T40" s="79"/>
      <c r="U40" s="79"/>
      <c r="V40" s="79"/>
    </row>
    <row r="41" customFormat="false" ht="131.3" hidden="false" customHeight="false" outlineLevel="0" collapsed="false">
      <c r="H41" s="74" t="n">
        <v>3</v>
      </c>
      <c r="I41" s="74" t="n">
        <v>3</v>
      </c>
      <c r="J41" s="75" t="n">
        <f aca="false">H41*I41</f>
        <v>9</v>
      </c>
      <c r="L41" s="76" t="s">
        <v>361</v>
      </c>
      <c r="M41" s="77" t="n">
        <f aca="false">IF(L41="very good", 0.2, IF(L41="good", 0.4, IF(L41="Satisfactory", 0.6, IF(L41="weak", 0.8, IF(L41="non existent", 1)))))</f>
        <v>0.6</v>
      </c>
      <c r="N41" s="75" t="n">
        <f aca="false">J41*M41</f>
        <v>5.4</v>
      </c>
      <c r="O41" s="78" t="str">
        <f aca="false">IF(N41&lt;=4,"Acceptable ",IF(N41&lt;=14,"Moderalety Acceptable","Unacceptable"))</f>
        <v>Moderalety Acceptable</v>
      </c>
      <c r="P41" s="78" t="str">
        <f aca="false">IF(N41&lt;=4,"Low Risk",IF(N41&lt;=14,"Medium Risk","High Risk"))</f>
        <v>Medium Risk</v>
      </c>
      <c r="Q41" s="78" t="str">
        <f aca="false">IF(P41="High Risk","Treatment",IF(P41="Medium Risk","Treatment","Tolerate"))</f>
        <v>Treatment</v>
      </c>
      <c r="R41" s="79"/>
      <c r="S41" s="79"/>
      <c r="T41" s="79"/>
      <c r="U41" s="79"/>
      <c r="V41" s="79"/>
    </row>
    <row r="42" customFormat="false" ht="131.3" hidden="false" customHeight="false" outlineLevel="0" collapsed="false">
      <c r="H42" s="74" t="n">
        <v>3</v>
      </c>
      <c r="I42" s="74" t="n">
        <v>3</v>
      </c>
      <c r="J42" s="75" t="n">
        <f aca="false">H42*I42</f>
        <v>9</v>
      </c>
      <c r="L42" s="76" t="s">
        <v>361</v>
      </c>
      <c r="M42" s="77" t="n">
        <f aca="false">IF(L42="very good", 0.2, IF(L42="good", 0.4, IF(L42="Satisfactory", 0.6, IF(L42="weak", 0.8, IF(L42="non existent", 1)))))</f>
        <v>0.6</v>
      </c>
      <c r="N42" s="75" t="n">
        <f aca="false">J42*M42</f>
        <v>5.4</v>
      </c>
      <c r="O42" s="78" t="str">
        <f aca="false">IF(N42&lt;=4,"Acceptable ",IF(N42&lt;=14,"Moderalety Acceptable","Unacceptable"))</f>
        <v>Moderalety Acceptable</v>
      </c>
      <c r="P42" s="78" t="str">
        <f aca="false">IF(N42&lt;=4,"Low Risk",IF(N42&lt;=14,"Medium Risk","High Risk"))</f>
        <v>Medium Risk</v>
      </c>
      <c r="Q42" s="78" t="str">
        <f aca="false">IF(P42="High Risk","Treatment",IF(P42="Medium Risk","Treatment","Tolerate"))</f>
        <v>Treatment</v>
      </c>
      <c r="R42" s="79"/>
      <c r="S42" s="79"/>
      <c r="T42" s="79"/>
      <c r="U42" s="79"/>
      <c r="V42" s="79"/>
    </row>
    <row r="43" customFormat="false" ht="131.3" hidden="false" customHeight="false" outlineLevel="0" collapsed="false">
      <c r="H43" s="74" t="n">
        <v>3</v>
      </c>
      <c r="I43" s="74" t="n">
        <v>3</v>
      </c>
      <c r="J43" s="75" t="n">
        <f aca="false">H43*I43</f>
        <v>9</v>
      </c>
      <c r="L43" s="76" t="s">
        <v>361</v>
      </c>
      <c r="M43" s="77" t="n">
        <f aca="false">IF(L43="very good", 0.2, IF(L43="good", 0.4, IF(L43="Satisfactory", 0.6, IF(L43="weak", 0.8, IF(L43="non existent", 1)))))</f>
        <v>0.6</v>
      </c>
      <c r="N43" s="75" t="n">
        <f aca="false">J43*M43</f>
        <v>5.4</v>
      </c>
      <c r="O43" s="78" t="str">
        <f aca="false">IF(N43&lt;=4,"Acceptable ",IF(N43&lt;=14,"Moderalety Acceptable","Unacceptable"))</f>
        <v>Moderalety Acceptable</v>
      </c>
      <c r="P43" s="78" t="str">
        <f aca="false">IF(N43&lt;=4,"Low Risk",IF(N43&lt;=14,"Medium Risk","High Risk"))</f>
        <v>Medium Risk</v>
      </c>
      <c r="Q43" s="78" t="str">
        <f aca="false">IF(P43="High Risk","Treatment",IF(P43="Medium Risk","Treatment","Tolerate"))</f>
        <v>Treatment</v>
      </c>
      <c r="R43" s="79"/>
      <c r="S43" s="79"/>
      <c r="T43" s="79"/>
      <c r="U43" s="79"/>
      <c r="V43" s="79"/>
    </row>
    <row r="44" customFormat="false" ht="131.3" hidden="false" customHeight="false" outlineLevel="0" collapsed="false">
      <c r="H44" s="74" t="n">
        <v>3</v>
      </c>
      <c r="I44" s="74" t="n">
        <v>3</v>
      </c>
      <c r="J44" s="75" t="n">
        <f aca="false">H44*I44</f>
        <v>9</v>
      </c>
      <c r="L44" s="76" t="s">
        <v>361</v>
      </c>
      <c r="M44" s="77" t="n">
        <f aca="false">IF(L44="very good", 0.2, IF(L44="good", 0.4, IF(L44="Satisfactory", 0.6, IF(L44="weak", 0.8, IF(L44="non existent", 1)))))</f>
        <v>0.6</v>
      </c>
      <c r="N44" s="75" t="n">
        <f aca="false">J44*M44</f>
        <v>5.4</v>
      </c>
      <c r="O44" s="78" t="str">
        <f aca="false">IF(N44&lt;=4,"Acceptable ",IF(N44&lt;=14,"Moderalety Acceptable","Unacceptable"))</f>
        <v>Moderalety Acceptable</v>
      </c>
      <c r="P44" s="78" t="str">
        <f aca="false">IF(N44&lt;=4,"Low Risk",IF(N44&lt;=14,"Medium Risk","High Risk"))</f>
        <v>Medium Risk</v>
      </c>
      <c r="Q44" s="78" t="str">
        <f aca="false">IF(P44="High Risk","Treatment",IF(P44="Medium Risk","Treatment","Tolerate"))</f>
        <v>Treatment</v>
      </c>
      <c r="R44" s="79"/>
      <c r="S44" s="79"/>
      <c r="T44" s="79"/>
      <c r="U44" s="79"/>
      <c r="V44" s="79"/>
    </row>
    <row r="45" customFormat="false" ht="131.3" hidden="false" customHeight="false" outlineLevel="0" collapsed="false">
      <c r="H45" s="74" t="n">
        <v>3</v>
      </c>
      <c r="I45" s="74" t="n">
        <v>3</v>
      </c>
      <c r="J45" s="75" t="n">
        <f aca="false">H45*I45</f>
        <v>9</v>
      </c>
      <c r="L45" s="76" t="s">
        <v>361</v>
      </c>
      <c r="M45" s="77" t="n">
        <f aca="false">IF(L45="very good", 0.2, IF(L45="good", 0.4, IF(L45="Satisfactory", 0.6, IF(L45="weak", 0.8, IF(L45="non existent", 1)))))</f>
        <v>0.6</v>
      </c>
      <c r="N45" s="75" t="n">
        <f aca="false">J45*M45</f>
        <v>5.4</v>
      </c>
      <c r="O45" s="78" t="str">
        <f aca="false">IF(N45&lt;=4,"Acceptable ",IF(N45&lt;=14,"Moderalety Acceptable","Unacceptable"))</f>
        <v>Moderalety Acceptable</v>
      </c>
      <c r="P45" s="78" t="str">
        <f aca="false">IF(N45&lt;=4,"Low Risk",IF(N45&lt;=14,"Medium Risk","High Risk"))</f>
        <v>Medium Risk</v>
      </c>
      <c r="Q45" s="78" t="str">
        <f aca="false">IF(P45="High Risk","Treatment",IF(P45="Medium Risk","Treatment","Tolerate"))</f>
        <v>Treatment</v>
      </c>
      <c r="R45" s="79"/>
      <c r="S45" s="79"/>
      <c r="T45" s="79"/>
      <c r="U45" s="79"/>
      <c r="V45" s="79"/>
    </row>
    <row r="46" customFormat="false" ht="131.3" hidden="false" customHeight="false" outlineLevel="0" collapsed="false">
      <c r="H46" s="74" t="n">
        <v>3</v>
      </c>
      <c r="I46" s="74" t="n">
        <v>3</v>
      </c>
      <c r="J46" s="75" t="n">
        <f aca="false">H46*I46</f>
        <v>9</v>
      </c>
      <c r="L46" s="76" t="s">
        <v>361</v>
      </c>
      <c r="M46" s="77" t="n">
        <f aca="false">IF(L46="very good", 0.2, IF(L46="good", 0.4, IF(L46="Satisfactory", 0.6, IF(L46="weak", 0.8, IF(L46="non existent", 1)))))</f>
        <v>0.6</v>
      </c>
      <c r="N46" s="75" t="n">
        <f aca="false">J46*M46</f>
        <v>5.4</v>
      </c>
      <c r="O46" s="78" t="str">
        <f aca="false">IF(N46&lt;=4,"Acceptable ",IF(N46&lt;=14,"Moderalety Acceptable","Unacceptable"))</f>
        <v>Moderalety Acceptable</v>
      </c>
      <c r="P46" s="78" t="str">
        <f aca="false">IF(N46&lt;=4,"Low Risk",IF(N46&lt;=14,"Medium Risk","High Risk"))</f>
        <v>Medium Risk</v>
      </c>
      <c r="Q46" s="78" t="str">
        <f aca="false">IF(P46="High Risk","Treatment",IF(P46="Medium Risk","Treatment","Tolerate"))</f>
        <v>Treatment</v>
      </c>
      <c r="R46" s="79"/>
      <c r="S46" s="79"/>
      <c r="T46" s="79"/>
      <c r="U46" s="79"/>
      <c r="V46" s="79"/>
    </row>
    <row r="47" customFormat="false" ht="131.3" hidden="false" customHeight="false" outlineLevel="0" collapsed="false">
      <c r="H47" s="74" t="n">
        <v>3</v>
      </c>
      <c r="I47" s="74" t="n">
        <v>3</v>
      </c>
      <c r="J47" s="75" t="n">
        <f aca="false">H47*I47</f>
        <v>9</v>
      </c>
      <c r="L47" s="76" t="s">
        <v>361</v>
      </c>
      <c r="M47" s="77" t="n">
        <f aca="false">IF(L47="very good", 0.2, IF(L47="good", 0.4, IF(L47="Satisfactory", 0.6, IF(L47="weak", 0.8, IF(L47="non existent", 1)))))</f>
        <v>0.6</v>
      </c>
      <c r="N47" s="75" t="n">
        <f aca="false">J47*M47</f>
        <v>5.4</v>
      </c>
      <c r="O47" s="78" t="str">
        <f aca="false">IF(N47&lt;=4,"Acceptable ",IF(N47&lt;=14,"Moderalety Acceptable","Unacceptable"))</f>
        <v>Moderalety Acceptable</v>
      </c>
      <c r="P47" s="78" t="str">
        <f aca="false">IF(N47&lt;=4,"Low Risk",IF(N47&lt;=14,"Medium Risk","High Risk"))</f>
        <v>Medium Risk</v>
      </c>
      <c r="Q47" s="78" t="str">
        <f aca="false">IF(P47="High Risk","Treatment",IF(P47="Medium Risk","Treatment","Tolerate"))</f>
        <v>Treatment</v>
      </c>
      <c r="R47" s="79"/>
      <c r="S47" s="79"/>
      <c r="T47" s="79"/>
      <c r="U47" s="79"/>
      <c r="V47" s="79"/>
    </row>
    <row r="48" customFormat="false" ht="131.3" hidden="false" customHeight="false" outlineLevel="0" collapsed="false">
      <c r="H48" s="74" t="n">
        <v>3</v>
      </c>
      <c r="I48" s="74" t="n">
        <v>3</v>
      </c>
      <c r="J48" s="75" t="n">
        <f aca="false">H48*I48</f>
        <v>9</v>
      </c>
      <c r="L48" s="76" t="s">
        <v>361</v>
      </c>
      <c r="M48" s="77" t="n">
        <f aca="false">IF(L48="very good", 0.2, IF(L48="good", 0.4, IF(L48="Satisfactory", 0.6, IF(L48="weak", 0.8, IF(L48="non existent", 1)))))</f>
        <v>0.6</v>
      </c>
      <c r="N48" s="75" t="n">
        <f aca="false">J48*M48</f>
        <v>5.4</v>
      </c>
      <c r="O48" s="78" t="str">
        <f aca="false">IF(N48&lt;=4,"Acceptable ",IF(N48&lt;=14,"Moderalety Acceptable","Unacceptable"))</f>
        <v>Moderalety Acceptable</v>
      </c>
      <c r="P48" s="78" t="str">
        <f aca="false">IF(N48&lt;=4,"Low Risk",IF(N48&lt;=14,"Medium Risk","High Risk"))</f>
        <v>Medium Risk</v>
      </c>
      <c r="Q48" s="78" t="str">
        <f aca="false">IF(P48="High Risk","Treatment",IF(P48="Medium Risk","Treatment","Tolerate"))</f>
        <v>Treatment</v>
      </c>
      <c r="R48" s="79"/>
      <c r="S48" s="79"/>
      <c r="T48" s="79"/>
      <c r="U48" s="79"/>
      <c r="V48" s="79"/>
    </row>
    <row r="49" customFormat="false" ht="131.3" hidden="false" customHeight="false" outlineLevel="0" collapsed="false">
      <c r="H49" s="74" t="n">
        <v>3</v>
      </c>
      <c r="I49" s="74" t="n">
        <v>3</v>
      </c>
      <c r="J49" s="75" t="n">
        <f aca="false">H49*I49</f>
        <v>9</v>
      </c>
      <c r="L49" s="76" t="s">
        <v>361</v>
      </c>
      <c r="M49" s="77" t="n">
        <f aca="false">IF(L49="very good", 0.2, IF(L49="good", 0.4, IF(L49="Satisfactory", 0.6, IF(L49="weak", 0.8, IF(L49="non existent", 1)))))</f>
        <v>0.6</v>
      </c>
      <c r="N49" s="75" t="n">
        <f aca="false">J49*M49</f>
        <v>5.4</v>
      </c>
      <c r="O49" s="78" t="str">
        <f aca="false">IF(N49&lt;=4,"Acceptable ",IF(N49&lt;=14,"Moderalety Acceptable","Unacceptable"))</f>
        <v>Moderalety Acceptable</v>
      </c>
      <c r="P49" s="78" t="str">
        <f aca="false">IF(N49&lt;=4,"Low Risk",IF(N49&lt;=14,"Medium Risk","High Risk"))</f>
        <v>Medium Risk</v>
      </c>
      <c r="Q49" s="78" t="str">
        <f aca="false">IF(P49="High Risk","Treatment",IF(P49="Medium Risk","Treatment","Tolerate"))</f>
        <v>Treatment</v>
      </c>
      <c r="R49" s="79"/>
      <c r="S49" s="79"/>
      <c r="T49" s="79"/>
      <c r="U49" s="79"/>
      <c r="V49" s="79"/>
    </row>
    <row r="50" customFormat="false" ht="131.3" hidden="false" customHeight="false" outlineLevel="0" collapsed="false">
      <c r="H50" s="74" t="n">
        <v>3</v>
      </c>
      <c r="I50" s="74" t="n">
        <v>3</v>
      </c>
      <c r="J50" s="75" t="n">
        <f aca="false">H50*I50</f>
        <v>9</v>
      </c>
      <c r="L50" s="76" t="s">
        <v>361</v>
      </c>
      <c r="M50" s="77" t="n">
        <f aca="false">IF(L50="very good", 0.2, IF(L50="good", 0.4, IF(L50="Satisfactory", 0.6, IF(L50="weak", 0.8, IF(L50="non existent", 1)))))</f>
        <v>0.6</v>
      </c>
      <c r="N50" s="75" t="n">
        <f aca="false">J50*M50</f>
        <v>5.4</v>
      </c>
      <c r="O50" s="78" t="str">
        <f aca="false">IF(N50&lt;=4,"Acceptable ",IF(N50&lt;=14,"Moderalety Acceptable","Unacceptable"))</f>
        <v>Moderalety Acceptable</v>
      </c>
      <c r="P50" s="78" t="str">
        <f aca="false">IF(N50&lt;=4,"Low Risk",IF(N50&lt;=14,"Medium Risk","High Risk"))</f>
        <v>Medium Risk</v>
      </c>
      <c r="Q50" s="78" t="str">
        <f aca="false">IF(P50="High Risk","Treatment",IF(P50="Medium Risk","Treatment","Tolerate"))</f>
        <v>Treatment</v>
      </c>
      <c r="R50" s="79"/>
      <c r="S50" s="79"/>
      <c r="T50" s="79"/>
      <c r="U50" s="79"/>
      <c r="V50" s="79"/>
    </row>
    <row r="51" customFormat="false" ht="131.3" hidden="false" customHeight="false" outlineLevel="0" collapsed="false">
      <c r="H51" s="74" t="n">
        <v>3</v>
      </c>
      <c r="I51" s="74" t="n">
        <v>3</v>
      </c>
      <c r="J51" s="75" t="n">
        <f aca="false">H51*I51</f>
        <v>9</v>
      </c>
      <c r="L51" s="76" t="s">
        <v>361</v>
      </c>
      <c r="M51" s="77" t="n">
        <f aca="false">IF(L51="very good", 0.2, IF(L51="good", 0.4, IF(L51="Satisfactory", 0.6, IF(L51="weak", 0.8, IF(L51="non existent", 1)))))</f>
        <v>0.6</v>
      </c>
      <c r="N51" s="75" t="n">
        <f aca="false">J51*M51</f>
        <v>5.4</v>
      </c>
      <c r="O51" s="78" t="str">
        <f aca="false">IF(N51&lt;=4,"Acceptable ",IF(N51&lt;=14,"Moderalety Acceptable","Unacceptable"))</f>
        <v>Moderalety Acceptable</v>
      </c>
      <c r="P51" s="78" t="str">
        <f aca="false">IF(N51&lt;=4,"Low Risk",IF(N51&lt;=14,"Medium Risk","High Risk"))</f>
        <v>Medium Risk</v>
      </c>
      <c r="Q51" s="78" t="str">
        <f aca="false">IF(P51="High Risk","Treatment",IF(P51="Medium Risk","Treatment","Tolerate"))</f>
        <v>Treatment</v>
      </c>
      <c r="R51" s="79"/>
      <c r="S51" s="79"/>
      <c r="T51" s="79"/>
      <c r="U51" s="79"/>
      <c r="V51" s="79"/>
    </row>
    <row r="52" customFormat="false" ht="131.3" hidden="false" customHeight="false" outlineLevel="0" collapsed="false">
      <c r="H52" s="74" t="n">
        <v>3</v>
      </c>
      <c r="I52" s="74" t="n">
        <v>3</v>
      </c>
      <c r="J52" s="75" t="n">
        <f aca="false">H52*I52</f>
        <v>9</v>
      </c>
      <c r="L52" s="76" t="s">
        <v>361</v>
      </c>
      <c r="M52" s="77" t="n">
        <f aca="false">IF(L52="very good", 0.2, IF(L52="good", 0.4, IF(L52="Satisfactory", 0.6, IF(L52="weak", 0.8, IF(L52="non existent", 1)))))</f>
        <v>0.6</v>
      </c>
      <c r="N52" s="75" t="n">
        <f aca="false">J52*M52</f>
        <v>5.4</v>
      </c>
      <c r="O52" s="78" t="str">
        <f aca="false">IF(N52&lt;=4,"Acceptable ",IF(N52&lt;=14,"Moderalety Acceptable","Unacceptable"))</f>
        <v>Moderalety Acceptable</v>
      </c>
      <c r="P52" s="78" t="str">
        <f aca="false">IF(N52&lt;=4,"Low Risk",IF(N52&lt;=14,"Medium Risk","High Risk"))</f>
        <v>Medium Risk</v>
      </c>
      <c r="Q52" s="78" t="str">
        <f aca="false">IF(P52="High Risk","Treatment",IF(P52="Medium Risk","Treatment","Tolerate"))</f>
        <v>Treatment</v>
      </c>
      <c r="R52" s="79"/>
      <c r="S52" s="79"/>
      <c r="T52" s="79"/>
      <c r="U52" s="79"/>
      <c r="V52" s="79"/>
    </row>
    <row r="53" customFormat="false" ht="131.3" hidden="false" customHeight="false" outlineLevel="0" collapsed="false">
      <c r="H53" s="74" t="n">
        <v>3</v>
      </c>
      <c r="I53" s="74" t="n">
        <v>3</v>
      </c>
      <c r="J53" s="75" t="n">
        <f aca="false">H53*I53</f>
        <v>9</v>
      </c>
      <c r="L53" s="76" t="s">
        <v>361</v>
      </c>
      <c r="M53" s="77" t="n">
        <f aca="false">IF(L53="very good", 0.2, IF(L53="good", 0.4, IF(L53="Satisfactory", 0.6, IF(L53="weak", 0.8, IF(L53="non existent", 1)))))</f>
        <v>0.6</v>
      </c>
      <c r="N53" s="75" t="n">
        <f aca="false">J53*M53</f>
        <v>5.4</v>
      </c>
      <c r="O53" s="78" t="str">
        <f aca="false">IF(N53&lt;=4,"Acceptable ",IF(N53&lt;=14,"Moderalety Acceptable","Unacceptable"))</f>
        <v>Moderalety Acceptable</v>
      </c>
      <c r="P53" s="78" t="str">
        <f aca="false">IF(N53&lt;=4,"Low Risk",IF(N53&lt;=14,"Medium Risk","High Risk"))</f>
        <v>Medium Risk</v>
      </c>
      <c r="Q53" s="78" t="str">
        <f aca="false">IF(P53="High Risk","Treatment",IF(P53="Medium Risk","Treatment","Tolerate"))</f>
        <v>Treatment</v>
      </c>
      <c r="R53" s="79"/>
      <c r="S53" s="79"/>
      <c r="T53" s="79"/>
      <c r="U53" s="79"/>
      <c r="V53" s="79"/>
    </row>
    <row r="54" customFormat="false" ht="131.3" hidden="false" customHeight="false" outlineLevel="0" collapsed="false">
      <c r="H54" s="74" t="n">
        <v>3</v>
      </c>
      <c r="I54" s="74" t="n">
        <v>3</v>
      </c>
      <c r="J54" s="75" t="n">
        <f aca="false">H54*I54</f>
        <v>9</v>
      </c>
      <c r="L54" s="76" t="s">
        <v>361</v>
      </c>
      <c r="M54" s="77" t="n">
        <f aca="false">IF(L54="very good", 0.2, IF(L54="good", 0.4, IF(L54="Satisfactory", 0.6, IF(L54="weak", 0.8, IF(L54="non existent", 1)))))</f>
        <v>0.6</v>
      </c>
      <c r="N54" s="75" t="n">
        <f aca="false">J54*M54</f>
        <v>5.4</v>
      </c>
      <c r="O54" s="78" t="str">
        <f aca="false">IF(N54&lt;=4,"Acceptable ",IF(N54&lt;=14,"Moderalety Acceptable","Unacceptable"))</f>
        <v>Moderalety Acceptable</v>
      </c>
      <c r="P54" s="78" t="str">
        <f aca="false">IF(N54&lt;=4,"Low Risk",IF(N54&lt;=14,"Medium Risk","High Risk"))</f>
        <v>Medium Risk</v>
      </c>
      <c r="Q54" s="78" t="str">
        <f aca="false">IF(P54="High Risk","Treatment",IF(P54="Medium Risk","Treatment","Tolerate"))</f>
        <v>Treatment</v>
      </c>
      <c r="R54" s="79"/>
      <c r="S54" s="79"/>
      <c r="T54" s="79"/>
      <c r="U54" s="79"/>
      <c r="V54" s="79"/>
    </row>
    <row r="55" customFormat="false" ht="131.3" hidden="false" customHeight="false" outlineLevel="0" collapsed="false">
      <c r="H55" s="74" t="n">
        <v>3</v>
      </c>
      <c r="I55" s="74" t="n">
        <v>3</v>
      </c>
      <c r="J55" s="75" t="n">
        <f aca="false">H55*I55</f>
        <v>9</v>
      </c>
      <c r="L55" s="76" t="s">
        <v>361</v>
      </c>
      <c r="M55" s="77" t="n">
        <f aca="false">IF(L55="very good", 0.2, IF(L55="good", 0.4, IF(L55="Satisfactory", 0.6, IF(L55="weak", 0.8, IF(L55="non existent", 1)))))</f>
        <v>0.6</v>
      </c>
      <c r="N55" s="75" t="n">
        <f aca="false">J55*M55</f>
        <v>5.4</v>
      </c>
      <c r="O55" s="78" t="str">
        <f aca="false">IF(N55&lt;=4,"Acceptable ",IF(N55&lt;=14,"Moderalety Acceptable","Unacceptable"))</f>
        <v>Moderalety Acceptable</v>
      </c>
      <c r="P55" s="78" t="str">
        <f aca="false">IF(N55&lt;=4,"Low Risk",IF(N55&lt;=14,"Medium Risk","High Risk"))</f>
        <v>Medium Risk</v>
      </c>
      <c r="Q55" s="78" t="str">
        <f aca="false">IF(P55="High Risk","Treatment",IF(P55="Medium Risk","Treatment","Tolerate"))</f>
        <v>Treatment</v>
      </c>
      <c r="R55" s="79"/>
      <c r="S55" s="79"/>
      <c r="T55" s="79"/>
      <c r="U55" s="79"/>
      <c r="V55" s="79"/>
    </row>
    <row r="56" customFormat="false" ht="131.3" hidden="false" customHeight="false" outlineLevel="0" collapsed="false">
      <c r="H56" s="74" t="n">
        <v>3</v>
      </c>
      <c r="I56" s="74" t="n">
        <v>3</v>
      </c>
      <c r="J56" s="75" t="n">
        <f aca="false">H56*I56</f>
        <v>9</v>
      </c>
      <c r="L56" s="76" t="s">
        <v>361</v>
      </c>
      <c r="M56" s="77" t="n">
        <f aca="false">IF(L56="very good", 0.2, IF(L56="good", 0.4, IF(L56="Satisfactory", 0.6, IF(L56="weak", 0.8, IF(L56="non existent", 1)))))</f>
        <v>0.6</v>
      </c>
      <c r="N56" s="75" t="n">
        <f aca="false">J56*M56</f>
        <v>5.4</v>
      </c>
      <c r="O56" s="78" t="str">
        <f aca="false">IF(N56&lt;=4,"Acceptable ",IF(N56&lt;=14,"Moderalety Acceptable","Unacceptable"))</f>
        <v>Moderalety Acceptable</v>
      </c>
      <c r="P56" s="78" t="str">
        <f aca="false">IF(N56&lt;=4,"Low Risk",IF(N56&lt;=14,"Medium Risk","High Risk"))</f>
        <v>Medium Risk</v>
      </c>
      <c r="Q56" s="78" t="str">
        <f aca="false">IF(P56="High Risk","Treatment",IF(P56="Medium Risk","Treatment","Tolerate"))</f>
        <v>Treatment</v>
      </c>
      <c r="R56" s="79"/>
      <c r="S56" s="79"/>
      <c r="T56" s="79"/>
      <c r="U56" s="79"/>
      <c r="V56" s="79"/>
    </row>
    <row r="57" customFormat="false" ht="131.3" hidden="false" customHeight="false" outlineLevel="0" collapsed="false">
      <c r="H57" s="74" t="n">
        <v>3</v>
      </c>
      <c r="I57" s="74" t="n">
        <v>3</v>
      </c>
      <c r="J57" s="75" t="n">
        <f aca="false">H57*I57</f>
        <v>9</v>
      </c>
      <c r="L57" s="76" t="s">
        <v>361</v>
      </c>
      <c r="M57" s="77" t="n">
        <f aca="false">IF(L57="very good", 0.2, IF(L57="good", 0.4, IF(L57="Satisfactory", 0.6, IF(L57="weak", 0.8, IF(L57="non existent", 1)))))</f>
        <v>0.6</v>
      </c>
      <c r="N57" s="75" t="n">
        <f aca="false">J57*M57</f>
        <v>5.4</v>
      </c>
      <c r="O57" s="78" t="str">
        <f aca="false">IF(N57&lt;=4,"Acceptable ",IF(N57&lt;=14,"Moderalety Acceptable","Unacceptable"))</f>
        <v>Moderalety Acceptable</v>
      </c>
      <c r="P57" s="78" t="str">
        <f aca="false">IF(N57&lt;=4,"Low Risk",IF(N57&lt;=14,"Medium Risk","High Risk"))</f>
        <v>Medium Risk</v>
      </c>
      <c r="Q57" s="78" t="str">
        <f aca="false">IF(P57="High Risk","Treatment",IF(P57="Medium Risk","Treatment","Tolerate"))</f>
        <v>Treatment</v>
      </c>
      <c r="R57" s="79"/>
      <c r="S57" s="79"/>
      <c r="T57" s="79"/>
      <c r="U57" s="79"/>
      <c r="V57" s="79"/>
    </row>
  </sheetData>
  <conditionalFormatting sqref="J2:J57 N2:N57">
    <cfRule type="cellIs" priority="2" operator="between" aboveAverage="0" equalAverage="0" bottom="0" percent="0" rank="0" text="" dxfId="16">
      <formula>1</formula>
      <formula>4</formula>
    </cfRule>
    <cfRule type="cellIs" priority="3" operator="between" aboveAverage="0" equalAverage="0" bottom="0" percent="0" rank="0" text="" dxfId="17">
      <formula>5</formula>
      <formula>14</formula>
    </cfRule>
    <cfRule type="cellIs" priority="4" operator="between" aboveAverage="0" equalAverage="0" bottom="0" percent="0" rank="0" text="" dxfId="18">
      <formula>15</formula>
      <formula>25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00B050"/>
    <pageSetUpPr fitToPage="true"/>
  </sheetPr>
  <dimension ref="A1:BS9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8" activePane="bottomLeft" state="frozen"/>
      <selection pane="topLeft" activeCell="A1" activeCellId="0" sqref="A1"/>
      <selection pane="bottomLeft" activeCell="C11" activeCellId="0" sqref="C11"/>
    </sheetView>
  </sheetViews>
  <sheetFormatPr defaultColWidth="9.1484375" defaultRowHeight="12.75" zeroHeight="false" outlineLevelRow="0" outlineLevelCol="0"/>
  <cols>
    <col collapsed="false" customWidth="true" hidden="false" outlineLevel="0" max="1" min="1" style="80" width="11.71"/>
    <col collapsed="false" customWidth="true" hidden="false" outlineLevel="0" max="2" min="2" style="80" width="10.85"/>
    <col collapsed="false" customWidth="true" hidden="false" outlineLevel="0" max="3" min="3" style="81" width="20.14"/>
    <col collapsed="false" customWidth="true" hidden="false" outlineLevel="0" max="4" min="4" style="81" width="39.57"/>
    <col collapsed="false" customWidth="true" hidden="false" outlineLevel="0" max="5" min="5" style="81" width="17.86"/>
    <col collapsed="false" customWidth="true" hidden="false" outlineLevel="0" max="6" min="6" style="81" width="14.14"/>
    <col collapsed="false" customWidth="true" hidden="false" outlineLevel="0" max="7" min="7" style="81" width="47.14"/>
    <col collapsed="false" customWidth="true" hidden="false" outlineLevel="0" max="8" min="8" style="80" width="32.15"/>
    <col collapsed="false" customWidth="true" hidden="false" outlineLevel="0" max="9" min="9" style="80" width="16.57"/>
    <col collapsed="false" customWidth="true" hidden="false" outlineLevel="0" max="10" min="10" style="80" width="12.15"/>
    <col collapsed="false" customWidth="true" hidden="false" outlineLevel="0" max="11" min="11" style="80" width="13.42"/>
    <col collapsed="false" customWidth="true" hidden="true" outlineLevel="0" max="12" min="12" style="80" width="6.14"/>
    <col collapsed="false" customWidth="true" hidden="false" outlineLevel="0" max="13" min="13" style="80" width="18.71"/>
    <col collapsed="false" customWidth="false" hidden="false" outlineLevel="0" max="16384" min="14" style="80" width="9.14"/>
  </cols>
  <sheetData>
    <row r="1" customFormat="false" ht="50.25" hidden="false" customHeight="true" outlineLevel="0" collapsed="false">
      <c r="A1" s="82" t="s">
        <v>402</v>
      </c>
      <c r="B1" s="82" t="s">
        <v>403</v>
      </c>
      <c r="C1" s="82" t="s">
        <v>5</v>
      </c>
      <c r="D1" s="82" t="s">
        <v>19</v>
      </c>
      <c r="E1" s="82" t="s">
        <v>404</v>
      </c>
      <c r="F1" s="82" t="s">
        <v>21</v>
      </c>
      <c r="G1" s="82" t="s">
        <v>355</v>
      </c>
      <c r="H1" s="82" t="s">
        <v>405</v>
      </c>
      <c r="I1" s="83" t="s">
        <v>406</v>
      </c>
      <c r="J1" s="82" t="s">
        <v>407</v>
      </c>
      <c r="K1" s="82" t="s">
        <v>408</v>
      </c>
      <c r="L1" s="82" t="s">
        <v>409</v>
      </c>
    </row>
    <row r="2" customFormat="false" ht="77.25" hidden="true" customHeight="true" outlineLevel="0" collapsed="false">
      <c r="A2" s="84" t="s">
        <v>410</v>
      </c>
      <c r="B2" s="85" t="s">
        <v>23</v>
      </c>
      <c r="C2" s="86" t="s">
        <v>26</v>
      </c>
      <c r="D2" s="24" t="s">
        <v>411</v>
      </c>
      <c r="E2" s="24" t="s">
        <v>33</v>
      </c>
      <c r="F2" s="24" t="s">
        <v>412</v>
      </c>
      <c r="G2" s="24" t="s">
        <v>413</v>
      </c>
      <c r="H2" s="24" t="s">
        <v>414</v>
      </c>
      <c r="I2" s="87"/>
      <c r="J2" s="88" t="s">
        <v>415</v>
      </c>
      <c r="K2" s="88" t="s">
        <v>416</v>
      </c>
      <c r="L2" s="89"/>
    </row>
    <row r="3" customFormat="false" ht="93" hidden="true" customHeight="true" outlineLevel="0" collapsed="false">
      <c r="A3" s="84" t="s">
        <v>410</v>
      </c>
      <c r="B3" s="18" t="s">
        <v>35</v>
      </c>
      <c r="C3" s="16" t="s">
        <v>36</v>
      </c>
      <c r="D3" s="24" t="s">
        <v>417</v>
      </c>
      <c r="E3" s="24" t="s">
        <v>43</v>
      </c>
      <c r="F3" s="24" t="s">
        <v>412</v>
      </c>
      <c r="G3" s="24" t="s">
        <v>418</v>
      </c>
      <c r="H3" s="24" t="s">
        <v>414</v>
      </c>
      <c r="I3" s="87"/>
      <c r="J3" s="88" t="s">
        <v>415</v>
      </c>
      <c r="K3" s="88" t="s">
        <v>416</v>
      </c>
      <c r="L3" s="90"/>
    </row>
    <row r="4" customFormat="false" ht="90.75" hidden="true" customHeight="true" outlineLevel="0" collapsed="false">
      <c r="A4" s="84" t="s">
        <v>410</v>
      </c>
      <c r="B4" s="91" t="s">
        <v>45</v>
      </c>
      <c r="C4" s="86" t="s">
        <v>46</v>
      </c>
      <c r="D4" s="24" t="s">
        <v>417</v>
      </c>
      <c r="E4" s="24" t="s">
        <v>419</v>
      </c>
      <c r="F4" s="24" t="s">
        <v>412</v>
      </c>
      <c r="G4" s="24" t="s">
        <v>420</v>
      </c>
      <c r="I4" s="87"/>
      <c r="J4" s="88" t="s">
        <v>415</v>
      </c>
      <c r="K4" s="88" t="s">
        <v>416</v>
      </c>
      <c r="L4" s="90" t="n">
        <f aca="false">'Register 2025-26'!V12</f>
        <v>0</v>
      </c>
    </row>
    <row r="5" customFormat="false" ht="81.75" hidden="true" customHeight="true" outlineLevel="0" collapsed="false">
      <c r="A5" s="84" t="s">
        <v>410</v>
      </c>
      <c r="B5" s="28" t="s">
        <v>52</v>
      </c>
      <c r="C5" s="92" t="s">
        <v>421</v>
      </c>
      <c r="D5" s="24" t="s">
        <v>422</v>
      </c>
      <c r="E5" s="32" t="s">
        <v>60</v>
      </c>
      <c r="F5" s="24" t="s">
        <v>423</v>
      </c>
      <c r="G5" s="93" t="s">
        <v>424</v>
      </c>
      <c r="H5" s="94"/>
      <c r="I5" s="94"/>
      <c r="J5" s="88" t="s">
        <v>415</v>
      </c>
      <c r="K5" s="88" t="s">
        <v>416</v>
      </c>
      <c r="L5" s="95"/>
    </row>
    <row r="6" customFormat="false" ht="129.75" hidden="true" customHeight="true" outlineLevel="0" collapsed="false">
      <c r="A6" s="84" t="s">
        <v>410</v>
      </c>
      <c r="B6" s="28"/>
      <c r="C6" s="92"/>
      <c r="D6" s="24" t="s">
        <v>425</v>
      </c>
      <c r="E6" s="32" t="s">
        <v>60</v>
      </c>
      <c r="F6" s="24" t="s">
        <v>104</v>
      </c>
      <c r="G6" s="96" t="s">
        <v>426</v>
      </c>
      <c r="H6" s="94"/>
      <c r="I6" s="94"/>
      <c r="J6" s="88" t="s">
        <v>415</v>
      </c>
      <c r="K6" s="88" t="s">
        <v>416</v>
      </c>
      <c r="L6" s="95"/>
    </row>
    <row r="7" customFormat="false" ht="104.25" hidden="true" customHeight="true" outlineLevel="0" collapsed="false">
      <c r="A7" s="84" t="s">
        <v>410</v>
      </c>
      <c r="B7" s="28"/>
      <c r="C7" s="92"/>
      <c r="D7" s="24" t="s">
        <v>427</v>
      </c>
      <c r="E7" s="32" t="s">
        <v>60</v>
      </c>
      <c r="F7" s="24" t="s">
        <v>104</v>
      </c>
      <c r="G7" s="97" t="s">
        <v>428</v>
      </c>
      <c r="H7" s="94"/>
      <c r="I7" s="94"/>
      <c r="J7" s="88" t="s">
        <v>415</v>
      </c>
      <c r="K7" s="88" t="s">
        <v>416</v>
      </c>
      <c r="L7" s="95"/>
    </row>
    <row r="8" s="101" customFormat="true" ht="164.25" hidden="false" customHeight="true" outlineLevel="0" collapsed="false">
      <c r="A8" s="98" t="s">
        <v>429</v>
      </c>
      <c r="B8" s="18" t="s">
        <v>63</v>
      </c>
      <c r="C8" s="16" t="s">
        <v>66</v>
      </c>
      <c r="D8" s="24" t="s">
        <v>430</v>
      </c>
      <c r="E8" s="24" t="s">
        <v>72</v>
      </c>
      <c r="F8" s="24" t="s">
        <v>44</v>
      </c>
      <c r="G8" s="24" t="s">
        <v>431</v>
      </c>
      <c r="H8" s="24"/>
      <c r="I8" s="24"/>
      <c r="J8" s="99" t="s">
        <v>415</v>
      </c>
      <c r="K8" s="88" t="s">
        <v>416</v>
      </c>
      <c r="L8" s="100" t="n">
        <f aca="false">'Register 2025-26'!V14</f>
        <v>0</v>
      </c>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0"/>
      <c r="BK8" s="80"/>
      <c r="BL8" s="80"/>
      <c r="BM8" s="80"/>
      <c r="BN8" s="80"/>
      <c r="BO8" s="80"/>
      <c r="BP8" s="80"/>
      <c r="BQ8" s="80"/>
      <c r="BR8" s="80"/>
      <c r="BS8" s="80"/>
    </row>
    <row r="9" s="101" customFormat="true" ht="72" hidden="false" customHeight="true" outlineLevel="0" collapsed="false">
      <c r="A9" s="98" t="s">
        <v>429</v>
      </c>
      <c r="B9" s="18"/>
      <c r="C9" s="16"/>
      <c r="D9" s="24" t="s">
        <v>432</v>
      </c>
      <c r="E9" s="24" t="s">
        <v>72</v>
      </c>
      <c r="F9" s="24" t="s">
        <v>44</v>
      </c>
      <c r="G9" s="24" t="s">
        <v>433</v>
      </c>
      <c r="H9" s="24"/>
      <c r="I9" s="24"/>
      <c r="J9" s="99" t="s">
        <v>415</v>
      </c>
      <c r="K9" s="88" t="s">
        <v>416</v>
      </c>
      <c r="L9" s="10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c r="BJ9" s="80"/>
      <c r="BK9" s="80"/>
      <c r="BL9" s="80"/>
      <c r="BM9" s="80"/>
      <c r="BN9" s="80"/>
      <c r="BO9" s="80"/>
      <c r="BP9" s="80"/>
      <c r="BQ9" s="80"/>
      <c r="BR9" s="80"/>
      <c r="BS9" s="80"/>
    </row>
    <row r="10" customFormat="false" ht="94.5" hidden="false" customHeight="true" outlineLevel="0" collapsed="false">
      <c r="A10" s="98" t="s">
        <v>429</v>
      </c>
      <c r="B10" s="18" t="s">
        <v>74</v>
      </c>
      <c r="C10" s="16" t="s">
        <v>434</v>
      </c>
      <c r="D10" s="24" t="s">
        <v>435</v>
      </c>
      <c r="E10" s="24" t="s">
        <v>80</v>
      </c>
      <c r="F10" s="30" t="s">
        <v>104</v>
      </c>
      <c r="G10" s="24" t="s">
        <v>436</v>
      </c>
      <c r="H10" s="24"/>
      <c r="I10" s="24"/>
      <c r="J10" s="99" t="s">
        <v>415</v>
      </c>
      <c r="K10" s="88" t="s">
        <v>416</v>
      </c>
      <c r="L10" s="89" t="n">
        <f aca="false">'Register 2025-26'!V15</f>
        <v>0</v>
      </c>
    </row>
    <row r="11" customFormat="false" ht="144" hidden="false" customHeight="true" outlineLevel="0" collapsed="false">
      <c r="A11" s="98" t="s">
        <v>429</v>
      </c>
      <c r="B11" s="18" t="s">
        <v>82</v>
      </c>
      <c r="C11" s="53" t="s">
        <v>83</v>
      </c>
      <c r="D11" s="24" t="s">
        <v>437</v>
      </c>
      <c r="E11" s="24" t="s">
        <v>89</v>
      </c>
      <c r="F11" s="24" t="s">
        <v>438</v>
      </c>
      <c r="G11" s="102" t="s">
        <v>439</v>
      </c>
      <c r="H11" s="103"/>
      <c r="I11" s="103"/>
      <c r="J11" s="88" t="s">
        <v>415</v>
      </c>
      <c r="K11" s="88" t="s">
        <v>416</v>
      </c>
      <c r="L11" s="104" t="n">
        <f aca="false">'Register 2025-26'!V16</f>
        <v>0</v>
      </c>
    </row>
    <row r="12" customFormat="false" ht="97.5" hidden="false" customHeight="true" outlineLevel="0" collapsed="false">
      <c r="A12" s="98" t="s">
        <v>429</v>
      </c>
      <c r="B12" s="18" t="s">
        <v>91</v>
      </c>
      <c r="C12" s="16" t="s">
        <v>92</v>
      </c>
      <c r="D12" s="24" t="s">
        <v>440</v>
      </c>
      <c r="E12" s="24" t="s">
        <v>89</v>
      </c>
      <c r="F12" s="24" t="s">
        <v>97</v>
      </c>
      <c r="G12" s="24" t="s">
        <v>441</v>
      </c>
      <c r="H12" s="24" t="s">
        <v>414</v>
      </c>
      <c r="I12" s="24"/>
      <c r="J12" s="88" t="s">
        <v>442</v>
      </c>
      <c r="K12" s="88"/>
      <c r="L12" s="100" t="n">
        <f aca="false">'Register 2025-26'!V17</f>
        <v>0</v>
      </c>
    </row>
    <row r="13" customFormat="false" ht="115.5" hidden="false" customHeight="true" outlineLevel="0" collapsed="false">
      <c r="A13" s="98" t="s">
        <v>429</v>
      </c>
      <c r="B13" s="18"/>
      <c r="C13" s="16"/>
      <c r="D13" s="24" t="s">
        <v>443</v>
      </c>
      <c r="E13" s="24" t="s">
        <v>89</v>
      </c>
      <c r="F13" s="24" t="s">
        <v>444</v>
      </c>
      <c r="G13" s="24" t="s">
        <v>445</v>
      </c>
      <c r="H13" s="94" t="s">
        <v>414</v>
      </c>
      <c r="I13" s="105"/>
      <c r="J13" s="88" t="s">
        <v>442</v>
      </c>
      <c r="K13" s="88"/>
      <c r="L13" s="100"/>
    </row>
    <row r="14" customFormat="false" ht="152.25" hidden="false" customHeight="true" outlineLevel="0" collapsed="false">
      <c r="A14" s="98" t="s">
        <v>429</v>
      </c>
      <c r="B14" s="106" t="s">
        <v>98</v>
      </c>
      <c r="C14" s="107" t="s">
        <v>446</v>
      </c>
      <c r="D14" s="24" t="s">
        <v>447</v>
      </c>
      <c r="E14" s="24" t="s">
        <v>448</v>
      </c>
      <c r="F14" s="24" t="s">
        <v>104</v>
      </c>
      <c r="G14" s="94" t="s">
        <v>449</v>
      </c>
      <c r="H14" s="94"/>
      <c r="I14" s="105"/>
      <c r="J14" s="88" t="s">
        <v>415</v>
      </c>
      <c r="K14" s="88" t="s">
        <v>416</v>
      </c>
      <c r="L14" s="108"/>
    </row>
    <row r="15" customFormat="false" ht="71.25" hidden="false" customHeight="true" outlineLevel="0" collapsed="false">
      <c r="A15" s="98" t="s">
        <v>429</v>
      </c>
      <c r="B15" s="106"/>
      <c r="C15" s="107"/>
      <c r="D15" s="24" t="s">
        <v>450</v>
      </c>
      <c r="E15" s="24" t="s">
        <v>448</v>
      </c>
      <c r="F15" s="24" t="s">
        <v>104</v>
      </c>
      <c r="G15" s="94" t="s">
        <v>451</v>
      </c>
      <c r="H15" s="94"/>
      <c r="I15" s="105"/>
      <c r="J15" s="88" t="s">
        <v>415</v>
      </c>
      <c r="K15" s="88" t="s">
        <v>416</v>
      </c>
      <c r="L15" s="108"/>
    </row>
    <row r="16" customFormat="false" ht="95.25" hidden="false" customHeight="true" outlineLevel="0" collapsed="false">
      <c r="A16" s="98" t="s">
        <v>429</v>
      </c>
      <c r="B16" s="109"/>
      <c r="C16" s="107"/>
      <c r="D16" s="24" t="s">
        <v>452</v>
      </c>
      <c r="E16" s="24" t="s">
        <v>89</v>
      </c>
      <c r="F16" s="24" t="s">
        <v>104</v>
      </c>
      <c r="G16" s="94" t="s">
        <v>453</v>
      </c>
      <c r="H16" s="105"/>
      <c r="I16" s="105"/>
      <c r="J16" s="88" t="s">
        <v>415</v>
      </c>
      <c r="K16" s="88" t="s">
        <v>416</v>
      </c>
      <c r="L16" s="108"/>
    </row>
    <row r="17" customFormat="false" ht="123.75" hidden="false" customHeight="true" outlineLevel="0" collapsed="false">
      <c r="A17" s="98" t="s">
        <v>429</v>
      </c>
      <c r="B17" s="110" t="s">
        <v>105</v>
      </c>
      <c r="C17" s="16" t="s">
        <v>106</v>
      </c>
      <c r="D17" s="24" t="s">
        <v>454</v>
      </c>
      <c r="E17" s="24" t="s">
        <v>89</v>
      </c>
      <c r="F17" s="24" t="s">
        <v>455</v>
      </c>
      <c r="G17" s="94" t="s">
        <v>456</v>
      </c>
      <c r="H17" s="94"/>
      <c r="I17" s="24"/>
      <c r="J17" s="88" t="s">
        <v>442</v>
      </c>
      <c r="K17" s="88"/>
      <c r="L17" s="104" t="n">
        <f aca="false">'Register 2025-26'!V19</f>
        <v>0</v>
      </c>
    </row>
    <row r="18" customFormat="false" ht="71.25" hidden="false" customHeight="true" outlineLevel="0" collapsed="false">
      <c r="A18" s="98" t="s">
        <v>429</v>
      </c>
      <c r="B18" s="110"/>
      <c r="C18" s="16"/>
      <c r="D18" s="24" t="s">
        <v>457</v>
      </c>
      <c r="E18" s="24" t="s">
        <v>89</v>
      </c>
      <c r="F18" s="24" t="s">
        <v>455</v>
      </c>
      <c r="G18" s="24" t="s">
        <v>458</v>
      </c>
      <c r="H18" s="105"/>
      <c r="I18" s="105"/>
      <c r="J18" s="88" t="s">
        <v>442</v>
      </c>
      <c r="K18" s="88"/>
      <c r="L18" s="104"/>
    </row>
    <row r="19" customFormat="false" ht="66.75" hidden="false" customHeight="true" outlineLevel="0" collapsed="false">
      <c r="A19" s="98" t="s">
        <v>429</v>
      </c>
      <c r="B19" s="110"/>
      <c r="C19" s="16"/>
      <c r="D19" s="24" t="s">
        <v>459</v>
      </c>
      <c r="E19" s="24" t="s">
        <v>89</v>
      </c>
      <c r="F19" s="24" t="s">
        <v>455</v>
      </c>
      <c r="G19" s="24" t="s">
        <v>460</v>
      </c>
      <c r="H19" s="105"/>
      <c r="I19" s="105"/>
      <c r="J19" s="88" t="s">
        <v>442</v>
      </c>
      <c r="K19" s="88"/>
      <c r="L19" s="104"/>
    </row>
    <row r="20" customFormat="false" ht="122.25" hidden="false" customHeight="true" outlineLevel="0" collapsed="false">
      <c r="A20" s="18" t="s">
        <v>429</v>
      </c>
      <c r="B20" s="91" t="s">
        <v>112</v>
      </c>
      <c r="C20" s="16" t="s">
        <v>113</v>
      </c>
      <c r="D20" s="24" t="s">
        <v>417</v>
      </c>
      <c r="E20" s="24" t="s">
        <v>72</v>
      </c>
      <c r="F20" s="24" t="s">
        <v>104</v>
      </c>
      <c r="G20" s="24" t="s">
        <v>461</v>
      </c>
      <c r="H20" s="24"/>
      <c r="I20" s="24"/>
      <c r="J20" s="88" t="s">
        <v>415</v>
      </c>
      <c r="K20" s="88" t="s">
        <v>416</v>
      </c>
      <c r="L20" s="111" t="n">
        <f aca="false">'Register 2025-26'!V20</f>
        <v>0</v>
      </c>
    </row>
    <row r="21" customFormat="false" ht="144" hidden="true" customHeight="true" outlineLevel="0" collapsed="false">
      <c r="A21" s="112" t="s">
        <v>462</v>
      </c>
      <c r="B21" s="112" t="s">
        <v>119</v>
      </c>
      <c r="C21" s="113" t="s">
        <v>463</v>
      </c>
      <c r="D21" s="24" t="s">
        <v>464</v>
      </c>
      <c r="E21" s="24" t="s">
        <v>128</v>
      </c>
      <c r="F21" s="30" t="s">
        <v>44</v>
      </c>
      <c r="G21" s="24" t="s">
        <v>465</v>
      </c>
      <c r="H21" s="24" t="s">
        <v>414</v>
      </c>
      <c r="I21" s="24" t="s">
        <v>466</v>
      </c>
      <c r="J21" s="88" t="s">
        <v>415</v>
      </c>
      <c r="K21" s="88" t="s">
        <v>416</v>
      </c>
      <c r="L21" s="108" t="n">
        <f aca="false">'Register 2025-26'!V21</f>
        <v>0</v>
      </c>
    </row>
    <row r="22" customFormat="false" ht="69" hidden="true" customHeight="true" outlineLevel="0" collapsed="false">
      <c r="A22" s="112" t="s">
        <v>462</v>
      </c>
      <c r="B22" s="112" t="s">
        <v>129</v>
      </c>
      <c r="C22" s="113" t="s">
        <v>130</v>
      </c>
      <c r="D22" s="24" t="s">
        <v>467</v>
      </c>
      <c r="E22" s="24" t="s">
        <v>128</v>
      </c>
      <c r="F22" s="24" t="s">
        <v>44</v>
      </c>
      <c r="G22" s="24" t="s">
        <v>468</v>
      </c>
      <c r="H22" s="24" t="s">
        <v>414</v>
      </c>
      <c r="I22" s="24" t="s">
        <v>466</v>
      </c>
      <c r="J22" s="88" t="s">
        <v>415</v>
      </c>
      <c r="K22" s="88" t="s">
        <v>416</v>
      </c>
      <c r="L22" s="100" t="n">
        <f aca="false">'Register 2025-26'!V22</f>
        <v>0</v>
      </c>
    </row>
    <row r="23" customFormat="false" ht="93" hidden="true" customHeight="true" outlineLevel="0" collapsed="false">
      <c r="A23" s="112" t="s">
        <v>462</v>
      </c>
      <c r="B23" s="112"/>
      <c r="C23" s="113"/>
      <c r="D23" s="24" t="s">
        <v>469</v>
      </c>
      <c r="E23" s="24" t="s">
        <v>128</v>
      </c>
      <c r="F23" s="24" t="s">
        <v>104</v>
      </c>
      <c r="G23" s="24" t="s">
        <v>470</v>
      </c>
      <c r="H23" s="24" t="s">
        <v>414</v>
      </c>
      <c r="I23" s="24" t="s">
        <v>466</v>
      </c>
      <c r="J23" s="88" t="s">
        <v>415</v>
      </c>
      <c r="K23" s="88" t="s">
        <v>416</v>
      </c>
      <c r="L23" s="100"/>
    </row>
    <row r="24" customFormat="false" ht="59.25" hidden="true" customHeight="true" outlineLevel="0" collapsed="false">
      <c r="A24" s="112" t="s">
        <v>462</v>
      </c>
      <c r="B24" s="112"/>
      <c r="C24" s="113"/>
      <c r="D24" s="114" t="s">
        <v>471</v>
      </c>
      <c r="E24" s="115" t="s">
        <v>128</v>
      </c>
      <c r="F24" s="114" t="s">
        <v>472</v>
      </c>
      <c r="G24" s="116" t="s">
        <v>473</v>
      </c>
      <c r="H24" s="114" t="s">
        <v>414</v>
      </c>
      <c r="I24" s="114" t="s">
        <v>474</v>
      </c>
      <c r="J24" s="88" t="s">
        <v>442</v>
      </c>
      <c r="K24" s="117"/>
      <c r="L24" s="100"/>
    </row>
    <row r="25" customFormat="false" ht="72" hidden="true" customHeight="true" outlineLevel="0" collapsed="false">
      <c r="A25" s="18" t="s">
        <v>462</v>
      </c>
      <c r="B25" s="18" t="s">
        <v>136</v>
      </c>
      <c r="C25" s="16" t="s">
        <v>475</v>
      </c>
      <c r="D25" s="24" t="s">
        <v>476</v>
      </c>
      <c r="E25" s="24" t="s">
        <v>142</v>
      </c>
      <c r="F25" s="24" t="s">
        <v>477</v>
      </c>
      <c r="G25" s="24" t="s">
        <v>478</v>
      </c>
      <c r="H25" s="24" t="s">
        <v>479</v>
      </c>
      <c r="I25" s="24" t="s">
        <v>480</v>
      </c>
      <c r="J25" s="88" t="s">
        <v>415</v>
      </c>
      <c r="K25" s="88" t="s">
        <v>481</v>
      </c>
      <c r="L25" s="100" t="n">
        <f aca="false">'Register 2025-26'!V23</f>
        <v>0</v>
      </c>
    </row>
    <row r="26" customFormat="false" ht="60.75" hidden="true" customHeight="true" outlineLevel="0" collapsed="false">
      <c r="A26" s="112" t="s">
        <v>462</v>
      </c>
      <c r="B26" s="18"/>
      <c r="C26" s="16"/>
      <c r="D26" s="24" t="s">
        <v>482</v>
      </c>
      <c r="E26" s="24" t="s">
        <v>142</v>
      </c>
      <c r="F26" s="24" t="s">
        <v>104</v>
      </c>
      <c r="G26" s="24" t="s">
        <v>483</v>
      </c>
      <c r="H26" s="24" t="s">
        <v>414</v>
      </c>
      <c r="I26" s="24" t="s">
        <v>466</v>
      </c>
      <c r="J26" s="88" t="s">
        <v>415</v>
      </c>
      <c r="K26" s="88" t="s">
        <v>416</v>
      </c>
      <c r="L26" s="100"/>
    </row>
    <row r="27" customFormat="false" ht="57.75" hidden="true" customHeight="true" outlineLevel="0" collapsed="false">
      <c r="A27" s="112" t="s">
        <v>462</v>
      </c>
      <c r="B27" s="18"/>
      <c r="C27" s="16"/>
      <c r="D27" s="24" t="s">
        <v>484</v>
      </c>
      <c r="E27" s="24" t="s">
        <v>142</v>
      </c>
      <c r="F27" s="24" t="s">
        <v>104</v>
      </c>
      <c r="G27" s="24" t="s">
        <v>485</v>
      </c>
      <c r="H27" s="24" t="s">
        <v>414</v>
      </c>
      <c r="I27" s="118" t="s">
        <v>466</v>
      </c>
      <c r="J27" s="88" t="s">
        <v>415</v>
      </c>
      <c r="K27" s="88" t="s">
        <v>416</v>
      </c>
      <c r="L27" s="100"/>
    </row>
    <row r="28" customFormat="false" ht="56.25" hidden="true" customHeight="true" outlineLevel="0" collapsed="false">
      <c r="A28" s="112" t="s">
        <v>462</v>
      </c>
      <c r="B28" s="18"/>
      <c r="C28" s="16"/>
      <c r="D28" s="118" t="s">
        <v>486</v>
      </c>
      <c r="E28" s="119" t="s">
        <v>142</v>
      </c>
      <c r="F28" s="119" t="s">
        <v>104</v>
      </c>
      <c r="G28" s="24" t="s">
        <v>487</v>
      </c>
      <c r="H28" s="24" t="s">
        <v>414</v>
      </c>
      <c r="I28" s="24" t="s">
        <v>466</v>
      </c>
      <c r="J28" s="88" t="s">
        <v>415</v>
      </c>
      <c r="K28" s="88" t="s">
        <v>416</v>
      </c>
      <c r="L28" s="100"/>
    </row>
    <row r="29" customFormat="false" ht="73.5" hidden="true" customHeight="true" outlineLevel="0" collapsed="false">
      <c r="A29" s="120" t="s">
        <v>488</v>
      </c>
      <c r="B29" s="121" t="s">
        <v>145</v>
      </c>
      <c r="C29" s="16" t="s">
        <v>489</v>
      </c>
      <c r="D29" s="122" t="s">
        <v>490</v>
      </c>
      <c r="E29" s="106" t="s">
        <v>153</v>
      </c>
      <c r="F29" s="109" t="s">
        <v>491</v>
      </c>
      <c r="G29" s="123" t="s">
        <v>492</v>
      </c>
      <c r="H29" s="124" t="s">
        <v>493</v>
      </c>
      <c r="I29" s="124"/>
      <c r="J29" s="88" t="s">
        <v>415</v>
      </c>
      <c r="K29" s="88" t="s">
        <v>416</v>
      </c>
      <c r="L29" s="104" t="n">
        <f aca="false">'Register 2025-26'!V24</f>
        <v>0</v>
      </c>
    </row>
    <row r="30" customFormat="false" ht="62.25" hidden="true" customHeight="true" outlineLevel="0" collapsed="false">
      <c r="A30" s="120" t="s">
        <v>488</v>
      </c>
      <c r="B30" s="121"/>
      <c r="C30" s="16"/>
      <c r="D30" s="24" t="s">
        <v>494</v>
      </c>
      <c r="E30" s="125" t="s">
        <v>153</v>
      </c>
      <c r="F30" s="24" t="s">
        <v>104</v>
      </c>
      <c r="G30" s="93" t="s">
        <v>495</v>
      </c>
      <c r="H30" s="24" t="s">
        <v>493</v>
      </c>
      <c r="I30" s="24"/>
      <c r="J30" s="88" t="s">
        <v>415</v>
      </c>
      <c r="K30" s="88" t="s">
        <v>416</v>
      </c>
      <c r="L30" s="104"/>
    </row>
    <row r="31" customFormat="false" ht="110.25" hidden="true" customHeight="true" outlineLevel="0" collapsed="false">
      <c r="A31" s="120" t="s">
        <v>488</v>
      </c>
      <c r="B31" s="84" t="s">
        <v>496</v>
      </c>
      <c r="C31" s="86" t="s">
        <v>157</v>
      </c>
      <c r="D31" s="24" t="s">
        <v>497</v>
      </c>
      <c r="E31" s="32" t="s">
        <v>163</v>
      </c>
      <c r="F31" s="35" t="s">
        <v>498</v>
      </c>
      <c r="G31" s="93" t="s">
        <v>499</v>
      </c>
      <c r="H31" s="94" t="s">
        <v>493</v>
      </c>
      <c r="I31" s="94"/>
      <c r="J31" s="88" t="s">
        <v>415</v>
      </c>
      <c r="K31" s="88" t="s">
        <v>416</v>
      </c>
      <c r="L31" s="100" t="n">
        <f aca="false">'Register 2025-26'!V25</f>
        <v>0</v>
      </c>
    </row>
    <row r="32" customFormat="false" ht="122.25" hidden="true" customHeight="true" outlineLevel="0" collapsed="false">
      <c r="A32" s="120" t="s">
        <v>488</v>
      </c>
      <c r="B32" s="84"/>
      <c r="C32" s="86"/>
      <c r="D32" s="24" t="s">
        <v>500</v>
      </c>
      <c r="E32" s="32" t="s">
        <v>163</v>
      </c>
      <c r="F32" s="35" t="s">
        <v>501</v>
      </c>
      <c r="G32" s="93" t="s">
        <v>502</v>
      </c>
      <c r="H32" s="94" t="s">
        <v>493</v>
      </c>
      <c r="I32" s="94"/>
      <c r="J32" s="88" t="s">
        <v>415</v>
      </c>
      <c r="K32" s="88" t="s">
        <v>416</v>
      </c>
      <c r="L32" s="100"/>
    </row>
    <row r="33" customFormat="false" ht="92.25" hidden="true" customHeight="true" outlineLevel="0" collapsed="false">
      <c r="A33" s="120" t="s">
        <v>488</v>
      </c>
      <c r="B33" s="119" t="s">
        <v>503</v>
      </c>
      <c r="C33" s="86" t="s">
        <v>166</v>
      </c>
      <c r="D33" s="24" t="s">
        <v>504</v>
      </c>
      <c r="E33" s="32" t="s">
        <v>171</v>
      </c>
      <c r="F33" s="35" t="s">
        <v>104</v>
      </c>
      <c r="G33" s="93" t="s">
        <v>505</v>
      </c>
      <c r="H33" s="126" t="s">
        <v>493</v>
      </c>
      <c r="I33" s="127"/>
      <c r="J33" s="88" t="s">
        <v>415</v>
      </c>
      <c r="K33" s="88" t="s">
        <v>416</v>
      </c>
      <c r="L33" s="100" t="n">
        <f aca="false">'Register 2025-26'!V26</f>
        <v>0</v>
      </c>
    </row>
    <row r="34" customFormat="false" ht="78" hidden="true" customHeight="true" outlineLevel="0" collapsed="false">
      <c r="A34" s="91" t="s">
        <v>488</v>
      </c>
      <c r="B34" s="119"/>
      <c r="C34" s="86"/>
      <c r="D34" s="24" t="s">
        <v>506</v>
      </c>
      <c r="E34" s="32" t="s">
        <v>171</v>
      </c>
      <c r="F34" s="35" t="s">
        <v>477</v>
      </c>
      <c r="G34" s="93" t="s">
        <v>507</v>
      </c>
      <c r="H34" s="126" t="s">
        <v>508</v>
      </c>
      <c r="I34" s="24" t="s">
        <v>480</v>
      </c>
      <c r="J34" s="88" t="s">
        <v>415</v>
      </c>
      <c r="K34" s="88" t="s">
        <v>481</v>
      </c>
      <c r="L34" s="100"/>
    </row>
    <row r="35" customFormat="false" ht="104.25" hidden="true" customHeight="true" outlineLevel="0" collapsed="false">
      <c r="A35" s="91" t="s">
        <v>488</v>
      </c>
      <c r="B35" s="85" t="s">
        <v>509</v>
      </c>
      <c r="C35" s="86" t="s">
        <v>175</v>
      </c>
      <c r="D35" s="24" t="s">
        <v>417</v>
      </c>
      <c r="E35" s="32" t="s">
        <v>171</v>
      </c>
      <c r="F35" s="35" t="s">
        <v>104</v>
      </c>
      <c r="G35" s="24" t="s">
        <v>510</v>
      </c>
      <c r="H35" s="128"/>
      <c r="I35" s="127"/>
      <c r="J35" s="88" t="s">
        <v>415</v>
      </c>
      <c r="K35" s="88" t="s">
        <v>416</v>
      </c>
      <c r="L35" s="90" t="n">
        <f aca="false">'Register 2025-26'!V27</f>
        <v>0</v>
      </c>
    </row>
    <row r="36" customFormat="false" ht="69.75" hidden="true" customHeight="true" outlineLevel="0" collapsed="false">
      <c r="A36" s="98" t="s">
        <v>511</v>
      </c>
      <c r="B36" s="18" t="s">
        <v>181</v>
      </c>
      <c r="C36" s="16" t="s">
        <v>512</v>
      </c>
      <c r="D36" s="24" t="s">
        <v>513</v>
      </c>
      <c r="E36" s="24" t="s">
        <v>189</v>
      </c>
      <c r="F36" s="24" t="s">
        <v>514</v>
      </c>
      <c r="G36" s="93" t="s">
        <v>515</v>
      </c>
      <c r="H36" s="94"/>
      <c r="I36" s="94"/>
      <c r="J36" s="88" t="s">
        <v>442</v>
      </c>
      <c r="K36" s="88"/>
      <c r="L36" s="100" t="n">
        <f aca="false">'Register 2025-26'!V28</f>
        <v>0</v>
      </c>
    </row>
    <row r="37" customFormat="false" ht="93.75" hidden="true" customHeight="true" outlineLevel="0" collapsed="false">
      <c r="A37" s="98" t="s">
        <v>511</v>
      </c>
      <c r="B37" s="18"/>
      <c r="C37" s="16"/>
      <c r="D37" s="24" t="s">
        <v>516</v>
      </c>
      <c r="E37" s="24" t="s">
        <v>189</v>
      </c>
      <c r="F37" s="24" t="s">
        <v>517</v>
      </c>
      <c r="G37" s="93" t="s">
        <v>518</v>
      </c>
      <c r="H37" s="105"/>
      <c r="I37" s="105"/>
      <c r="J37" s="88" t="s">
        <v>442</v>
      </c>
      <c r="K37" s="88"/>
      <c r="L37" s="100"/>
    </row>
    <row r="38" customFormat="false" ht="63" hidden="true" customHeight="true" outlineLevel="0" collapsed="false">
      <c r="A38" s="98" t="s">
        <v>511</v>
      </c>
      <c r="B38" s="85" t="s">
        <v>191</v>
      </c>
      <c r="C38" s="86" t="s">
        <v>519</v>
      </c>
      <c r="D38" s="24" t="s">
        <v>520</v>
      </c>
      <c r="E38" s="24" t="s">
        <v>207</v>
      </c>
      <c r="F38" s="30" t="s">
        <v>521</v>
      </c>
      <c r="G38" s="129" t="s">
        <v>522</v>
      </c>
      <c r="H38" s="130"/>
      <c r="I38" s="130"/>
      <c r="J38" s="88" t="s">
        <v>415</v>
      </c>
      <c r="K38" s="88" t="s">
        <v>416</v>
      </c>
      <c r="L38" s="100" t="n">
        <f aca="false">'Register 2025-26'!V29</f>
        <v>0</v>
      </c>
    </row>
    <row r="39" customFormat="false" ht="75.75" hidden="true" customHeight="true" outlineLevel="0" collapsed="false">
      <c r="A39" s="98" t="s">
        <v>511</v>
      </c>
      <c r="B39" s="85"/>
      <c r="C39" s="86"/>
      <c r="D39" s="24" t="s">
        <v>523</v>
      </c>
      <c r="E39" s="24" t="s">
        <v>207</v>
      </c>
      <c r="F39" s="30" t="s">
        <v>104</v>
      </c>
      <c r="G39" s="129" t="s">
        <v>524</v>
      </c>
      <c r="H39" s="94"/>
      <c r="I39" s="94"/>
      <c r="J39" s="88" t="s">
        <v>415</v>
      </c>
      <c r="K39" s="88" t="s">
        <v>416</v>
      </c>
      <c r="L39" s="100"/>
    </row>
    <row r="40" customFormat="false" ht="52.5" hidden="true" customHeight="true" outlineLevel="0" collapsed="false">
      <c r="A40" s="98" t="s">
        <v>511</v>
      </c>
      <c r="B40" s="85"/>
      <c r="C40" s="86"/>
      <c r="D40" s="24" t="s">
        <v>525</v>
      </c>
      <c r="E40" s="24" t="s">
        <v>207</v>
      </c>
      <c r="F40" s="30" t="s">
        <v>104</v>
      </c>
      <c r="G40" s="131" t="s">
        <v>526</v>
      </c>
      <c r="H40" s="94"/>
      <c r="I40" s="94"/>
      <c r="J40" s="88" t="s">
        <v>415</v>
      </c>
      <c r="K40" s="88" t="s">
        <v>416</v>
      </c>
      <c r="L40" s="100"/>
    </row>
    <row r="41" customFormat="false" ht="57.75" hidden="true" customHeight="true" outlineLevel="0" collapsed="false">
      <c r="A41" s="98" t="s">
        <v>511</v>
      </c>
      <c r="B41" s="18" t="s">
        <v>200</v>
      </c>
      <c r="C41" s="16" t="s">
        <v>202</v>
      </c>
      <c r="D41" s="24" t="s">
        <v>527</v>
      </c>
      <c r="E41" s="24" t="s">
        <v>207</v>
      </c>
      <c r="F41" s="30" t="s">
        <v>528</v>
      </c>
      <c r="G41" s="129" t="s">
        <v>529</v>
      </c>
      <c r="H41" s="94"/>
      <c r="I41" s="94"/>
      <c r="J41" s="88" t="s">
        <v>415</v>
      </c>
      <c r="K41" s="88" t="s">
        <v>416</v>
      </c>
      <c r="L41" s="100" t="n">
        <f aca="false">'Register 2025-26'!V30</f>
        <v>0</v>
      </c>
    </row>
    <row r="42" customFormat="false" ht="44.25" hidden="true" customHeight="true" outlineLevel="0" collapsed="false">
      <c r="A42" s="98" t="s">
        <v>511</v>
      </c>
      <c r="B42" s="18"/>
      <c r="C42" s="16"/>
      <c r="D42" s="24" t="s">
        <v>530</v>
      </c>
      <c r="E42" s="24" t="s">
        <v>207</v>
      </c>
      <c r="F42" s="30" t="s">
        <v>528</v>
      </c>
      <c r="G42" s="129" t="s">
        <v>531</v>
      </c>
      <c r="H42" s="94"/>
      <c r="I42" s="94"/>
      <c r="J42" s="88" t="s">
        <v>442</v>
      </c>
      <c r="K42" s="88" t="s">
        <v>416</v>
      </c>
      <c r="L42" s="100"/>
    </row>
    <row r="43" customFormat="false" ht="45.75" hidden="true" customHeight="true" outlineLevel="0" collapsed="false">
      <c r="A43" s="98" t="s">
        <v>511</v>
      </c>
      <c r="B43" s="18"/>
      <c r="C43" s="16"/>
      <c r="D43" s="24" t="s">
        <v>532</v>
      </c>
      <c r="E43" s="24" t="s">
        <v>207</v>
      </c>
      <c r="F43" s="30" t="s">
        <v>104</v>
      </c>
      <c r="G43" s="129" t="s">
        <v>533</v>
      </c>
      <c r="H43" s="94"/>
      <c r="I43" s="94"/>
      <c r="J43" s="88" t="s">
        <v>415</v>
      </c>
      <c r="K43" s="88" t="s">
        <v>416</v>
      </c>
      <c r="L43" s="100"/>
    </row>
    <row r="44" customFormat="false" ht="47.25" hidden="true" customHeight="true" outlineLevel="0" collapsed="false">
      <c r="A44" s="98" t="s">
        <v>511</v>
      </c>
      <c r="B44" s="18"/>
      <c r="C44" s="16"/>
      <c r="D44" s="24" t="s">
        <v>534</v>
      </c>
      <c r="E44" s="24" t="s">
        <v>207</v>
      </c>
      <c r="F44" s="30" t="s">
        <v>104</v>
      </c>
      <c r="G44" s="131" t="s">
        <v>535</v>
      </c>
      <c r="H44" s="94"/>
      <c r="I44" s="94"/>
      <c r="J44" s="88" t="s">
        <v>415</v>
      </c>
      <c r="K44" s="88" t="s">
        <v>416</v>
      </c>
      <c r="L44" s="100"/>
    </row>
    <row r="45" customFormat="false" ht="51.75" hidden="true" customHeight="true" outlineLevel="0" collapsed="false">
      <c r="A45" s="98" t="s">
        <v>511</v>
      </c>
      <c r="B45" s="85" t="s">
        <v>209</v>
      </c>
      <c r="C45" s="86" t="s">
        <v>210</v>
      </c>
      <c r="D45" s="94" t="s">
        <v>536</v>
      </c>
      <c r="E45" s="94" t="s">
        <v>215</v>
      </c>
      <c r="F45" s="39" t="s">
        <v>537</v>
      </c>
      <c r="G45" s="24" t="s">
        <v>538</v>
      </c>
      <c r="H45" s="94"/>
      <c r="I45" s="94"/>
      <c r="J45" s="88" t="s">
        <v>415</v>
      </c>
      <c r="K45" s="88" t="s">
        <v>416</v>
      </c>
      <c r="L45" s="100" t="n">
        <f aca="false">'Register 2025-26'!V31</f>
        <v>0</v>
      </c>
    </row>
    <row r="46" customFormat="false" ht="37.5" hidden="true" customHeight="true" outlineLevel="0" collapsed="false">
      <c r="A46" s="98" t="s">
        <v>511</v>
      </c>
      <c r="B46" s="85"/>
      <c r="C46" s="86"/>
      <c r="D46" s="24" t="s">
        <v>539</v>
      </c>
      <c r="E46" s="94" t="s">
        <v>215</v>
      </c>
      <c r="F46" s="132" t="s">
        <v>540</v>
      </c>
      <c r="G46" s="24" t="s">
        <v>541</v>
      </c>
      <c r="H46" s="94"/>
      <c r="I46" s="94"/>
      <c r="J46" s="88" t="s">
        <v>415</v>
      </c>
      <c r="K46" s="88" t="s">
        <v>416</v>
      </c>
      <c r="L46" s="100"/>
    </row>
    <row r="47" customFormat="false" ht="49.5" hidden="true" customHeight="true" outlineLevel="0" collapsed="false">
      <c r="A47" s="98" t="s">
        <v>511</v>
      </c>
      <c r="B47" s="18" t="s">
        <v>217</v>
      </c>
      <c r="C47" s="16" t="s">
        <v>542</v>
      </c>
      <c r="D47" s="24" t="s">
        <v>543</v>
      </c>
      <c r="E47" s="94" t="s">
        <v>215</v>
      </c>
      <c r="F47" s="39" t="s">
        <v>537</v>
      </c>
      <c r="G47" s="24" t="s">
        <v>544</v>
      </c>
      <c r="H47" s="94"/>
      <c r="I47" s="94"/>
      <c r="J47" s="88" t="s">
        <v>415</v>
      </c>
      <c r="K47" s="88" t="s">
        <v>416</v>
      </c>
      <c r="L47" s="111" t="n">
        <f aca="false">'Register 2025-26'!V32</f>
        <v>0</v>
      </c>
    </row>
    <row r="48" customFormat="false" ht="53.25" hidden="true" customHeight="true" outlineLevel="0" collapsed="false">
      <c r="A48" s="98" t="s">
        <v>511</v>
      </c>
      <c r="B48" s="85" t="s">
        <v>223</v>
      </c>
      <c r="C48" s="86" t="s">
        <v>224</v>
      </c>
      <c r="D48" s="24" t="s">
        <v>545</v>
      </c>
      <c r="E48" s="24" t="s">
        <v>229</v>
      </c>
      <c r="F48" s="30" t="s">
        <v>546</v>
      </c>
      <c r="G48" s="24" t="s">
        <v>547</v>
      </c>
      <c r="H48" s="94"/>
      <c r="I48" s="94"/>
      <c r="J48" s="88" t="s">
        <v>415</v>
      </c>
      <c r="K48" s="88" t="s">
        <v>416</v>
      </c>
      <c r="L48" s="100" t="n">
        <f aca="false">'Register 2025-26'!V33</f>
        <v>0</v>
      </c>
    </row>
    <row r="49" customFormat="false" ht="54" hidden="true" customHeight="true" outlineLevel="0" collapsed="false">
      <c r="A49" s="98" t="s">
        <v>511</v>
      </c>
      <c r="B49" s="85"/>
      <c r="C49" s="86"/>
      <c r="D49" s="24" t="s">
        <v>548</v>
      </c>
      <c r="E49" s="24" t="s">
        <v>229</v>
      </c>
      <c r="F49" s="30" t="s">
        <v>540</v>
      </c>
      <c r="G49" s="24" t="s">
        <v>549</v>
      </c>
      <c r="H49" s="94"/>
      <c r="I49" s="94"/>
      <c r="J49" s="88" t="s">
        <v>415</v>
      </c>
      <c r="K49" s="88" t="s">
        <v>416</v>
      </c>
      <c r="L49" s="100"/>
    </row>
    <row r="50" customFormat="false" ht="65.25" hidden="true" customHeight="true" outlineLevel="0" collapsed="false">
      <c r="A50" s="98" t="s">
        <v>511</v>
      </c>
      <c r="B50" s="91" t="s">
        <v>231</v>
      </c>
      <c r="C50" s="16" t="s">
        <v>232</v>
      </c>
      <c r="D50" s="94" t="s">
        <v>550</v>
      </c>
      <c r="E50" s="94" t="s">
        <v>238</v>
      </c>
      <c r="F50" s="133" t="s">
        <v>44</v>
      </c>
      <c r="G50" s="24" t="s">
        <v>551</v>
      </c>
      <c r="H50" s="94"/>
      <c r="I50" s="94"/>
      <c r="J50" s="88" t="s">
        <v>415</v>
      </c>
      <c r="K50" s="88" t="s">
        <v>416</v>
      </c>
      <c r="L50" s="89" t="n">
        <f aca="false">'Register 2025-26'!V34</f>
        <v>0</v>
      </c>
    </row>
    <row r="51" customFormat="false" ht="61.5" hidden="true" customHeight="true" outlineLevel="0" collapsed="false">
      <c r="A51" s="98" t="s">
        <v>511</v>
      </c>
      <c r="B51" s="134" t="s">
        <v>239</v>
      </c>
      <c r="C51" s="16" t="s">
        <v>240</v>
      </c>
      <c r="D51" s="24" t="s">
        <v>552</v>
      </c>
      <c r="E51" s="125" t="s">
        <v>245</v>
      </c>
      <c r="F51" s="24" t="s">
        <v>553</v>
      </c>
      <c r="G51" s="24" t="s">
        <v>554</v>
      </c>
      <c r="H51" s="94"/>
      <c r="I51" s="94"/>
      <c r="J51" s="88" t="s">
        <v>415</v>
      </c>
      <c r="K51" s="88" t="s">
        <v>416</v>
      </c>
      <c r="L51" s="100" t="n">
        <f aca="false">'Register 2025-26'!V35</f>
        <v>0</v>
      </c>
    </row>
    <row r="52" customFormat="false" ht="61.5" hidden="true" customHeight="true" outlineLevel="0" collapsed="false">
      <c r="A52" s="98" t="s">
        <v>511</v>
      </c>
      <c r="B52" s="134"/>
      <c r="C52" s="16"/>
      <c r="D52" s="24" t="s">
        <v>555</v>
      </c>
      <c r="E52" s="125" t="s">
        <v>245</v>
      </c>
      <c r="F52" s="24" t="s">
        <v>104</v>
      </c>
      <c r="G52" s="24" t="s">
        <v>556</v>
      </c>
      <c r="H52" s="94"/>
      <c r="I52" s="94"/>
      <c r="J52" s="88" t="s">
        <v>415</v>
      </c>
      <c r="K52" s="88" t="s">
        <v>416</v>
      </c>
      <c r="L52" s="100"/>
    </row>
    <row r="53" customFormat="false" ht="66" hidden="true" customHeight="true" outlineLevel="0" collapsed="false">
      <c r="A53" s="18" t="s">
        <v>511</v>
      </c>
      <c r="B53" s="18" t="s">
        <v>247</v>
      </c>
      <c r="C53" s="16" t="s">
        <v>248</v>
      </c>
      <c r="D53" s="24" t="s">
        <v>557</v>
      </c>
      <c r="E53" s="125" t="s">
        <v>238</v>
      </c>
      <c r="F53" s="24" t="s">
        <v>558</v>
      </c>
      <c r="G53" s="119" t="s">
        <v>559</v>
      </c>
      <c r="H53" s="105"/>
      <c r="I53" s="105"/>
      <c r="J53" s="88" t="s">
        <v>442</v>
      </c>
      <c r="K53" s="88"/>
      <c r="L53" s="104" t="n">
        <f aca="false">'Register 2025-26'!V36</f>
        <v>0</v>
      </c>
    </row>
    <row r="54" customFormat="false" ht="44.25" hidden="true" customHeight="true" outlineLevel="0" collapsed="false">
      <c r="A54" s="18" t="s">
        <v>511</v>
      </c>
      <c r="B54" s="18"/>
      <c r="C54" s="16"/>
      <c r="D54" s="24" t="s">
        <v>560</v>
      </c>
      <c r="E54" s="125" t="s">
        <v>238</v>
      </c>
      <c r="F54" s="24" t="s">
        <v>104</v>
      </c>
      <c r="G54" s="119" t="s">
        <v>561</v>
      </c>
      <c r="H54" s="105"/>
      <c r="I54" s="105"/>
      <c r="J54" s="88" t="s">
        <v>415</v>
      </c>
      <c r="K54" s="88" t="s">
        <v>416</v>
      </c>
      <c r="L54" s="104"/>
    </row>
    <row r="55" customFormat="false" ht="46.5" hidden="true" customHeight="true" outlineLevel="0" collapsed="false">
      <c r="A55" s="18" t="s">
        <v>511</v>
      </c>
      <c r="B55" s="18"/>
      <c r="C55" s="16"/>
      <c r="D55" s="24" t="s">
        <v>562</v>
      </c>
      <c r="E55" s="24" t="s">
        <v>238</v>
      </c>
      <c r="F55" s="24" t="s">
        <v>104</v>
      </c>
      <c r="G55" s="24" t="s">
        <v>563</v>
      </c>
      <c r="H55" s="24"/>
      <c r="I55" s="24"/>
      <c r="J55" s="88" t="s">
        <v>415</v>
      </c>
      <c r="K55" s="88" t="s">
        <v>416</v>
      </c>
      <c r="L55" s="104"/>
      <c r="O55" s="135"/>
    </row>
    <row r="56" customFormat="false" ht="99.75" hidden="true" customHeight="true" outlineLevel="0" collapsed="false">
      <c r="A56" s="18" t="s">
        <v>564</v>
      </c>
      <c r="B56" s="18" t="s">
        <v>255</v>
      </c>
      <c r="C56" s="16" t="s">
        <v>565</v>
      </c>
      <c r="D56" s="24" t="s">
        <v>566</v>
      </c>
      <c r="E56" s="24" t="s">
        <v>263</v>
      </c>
      <c r="F56" s="30" t="s">
        <v>567</v>
      </c>
      <c r="G56" s="24" t="s">
        <v>568</v>
      </c>
      <c r="H56" s="136" t="s">
        <v>414</v>
      </c>
      <c r="I56" s="136"/>
      <c r="J56" s="88" t="s">
        <v>415</v>
      </c>
      <c r="K56" s="88" t="s">
        <v>416</v>
      </c>
      <c r="L56" s="100" t="n">
        <f aca="false">'Register 2025-26'!V37</f>
        <v>0</v>
      </c>
    </row>
    <row r="57" customFormat="false" ht="66.75" hidden="true" customHeight="true" outlineLevel="0" collapsed="false">
      <c r="A57" s="18" t="s">
        <v>564</v>
      </c>
      <c r="B57" s="18"/>
      <c r="C57" s="16"/>
      <c r="D57" s="24" t="s">
        <v>569</v>
      </c>
      <c r="E57" s="24" t="s">
        <v>263</v>
      </c>
      <c r="F57" s="30" t="s">
        <v>44</v>
      </c>
      <c r="G57" s="24" t="s">
        <v>570</v>
      </c>
      <c r="H57" s="136" t="s">
        <v>414</v>
      </c>
      <c r="I57" s="136"/>
      <c r="J57" s="88" t="s">
        <v>415</v>
      </c>
      <c r="K57" s="88" t="s">
        <v>416</v>
      </c>
      <c r="L57" s="100"/>
    </row>
    <row r="58" customFormat="false" ht="78" hidden="true" customHeight="true" outlineLevel="0" collapsed="false">
      <c r="A58" s="18" t="s">
        <v>564</v>
      </c>
      <c r="B58" s="18"/>
      <c r="C58" s="16"/>
      <c r="D58" s="24" t="s">
        <v>571</v>
      </c>
      <c r="E58" s="24" t="s">
        <v>263</v>
      </c>
      <c r="F58" s="30" t="n">
        <v>46061</v>
      </c>
      <c r="G58" s="24" t="s">
        <v>572</v>
      </c>
      <c r="H58" s="136" t="s">
        <v>414</v>
      </c>
      <c r="I58" s="136"/>
      <c r="J58" s="88" t="s">
        <v>442</v>
      </c>
      <c r="K58" s="88"/>
      <c r="L58" s="100"/>
    </row>
    <row r="59" customFormat="false" ht="168" hidden="true" customHeight="true" outlineLevel="0" collapsed="false">
      <c r="A59" s="18" t="s">
        <v>564</v>
      </c>
      <c r="B59" s="110" t="s">
        <v>265</v>
      </c>
      <c r="C59" s="107" t="s">
        <v>573</v>
      </c>
      <c r="D59" s="24" t="s">
        <v>574</v>
      </c>
      <c r="E59" s="24" t="s">
        <v>271</v>
      </c>
      <c r="F59" s="30" t="s">
        <v>575</v>
      </c>
      <c r="G59" s="24" t="s">
        <v>576</v>
      </c>
      <c r="H59" s="24" t="s">
        <v>414</v>
      </c>
      <c r="I59" s="24"/>
      <c r="J59" s="88" t="s">
        <v>415</v>
      </c>
      <c r="K59" s="88" t="s">
        <v>416</v>
      </c>
      <c r="L59" s="100" t="n">
        <f aca="false">'Register 2025-26'!V38</f>
        <v>0</v>
      </c>
    </row>
    <row r="60" customFormat="false" ht="146.25" hidden="true" customHeight="true" outlineLevel="0" collapsed="false">
      <c r="A60" s="18" t="s">
        <v>564</v>
      </c>
      <c r="B60" s="110"/>
      <c r="C60" s="107"/>
      <c r="D60" s="24" t="s">
        <v>577</v>
      </c>
      <c r="E60" s="24" t="s">
        <v>271</v>
      </c>
      <c r="F60" s="30" t="s">
        <v>104</v>
      </c>
      <c r="G60" s="24" t="s">
        <v>578</v>
      </c>
      <c r="H60" s="24" t="s">
        <v>414</v>
      </c>
      <c r="I60" s="24"/>
      <c r="J60" s="88" t="s">
        <v>415</v>
      </c>
      <c r="K60" s="88" t="s">
        <v>416</v>
      </c>
      <c r="L60" s="100"/>
    </row>
    <row r="61" customFormat="false" ht="123.75" hidden="true" customHeight="true" outlineLevel="0" collapsed="false">
      <c r="A61" s="18" t="s">
        <v>564</v>
      </c>
      <c r="B61" s="110"/>
      <c r="C61" s="107"/>
      <c r="D61" s="24" t="s">
        <v>579</v>
      </c>
      <c r="E61" s="24" t="s">
        <v>271</v>
      </c>
      <c r="F61" s="30" t="s">
        <v>104</v>
      </c>
      <c r="G61" s="24" t="s">
        <v>580</v>
      </c>
      <c r="H61" s="137" t="s">
        <v>414</v>
      </c>
      <c r="I61" s="137"/>
      <c r="J61" s="88" t="s">
        <v>415</v>
      </c>
      <c r="K61" s="88" t="s">
        <v>416</v>
      </c>
      <c r="L61" s="100"/>
    </row>
    <row r="62" customFormat="false" ht="91.5" hidden="true" customHeight="true" outlineLevel="0" collapsed="false">
      <c r="A62" s="18" t="s">
        <v>564</v>
      </c>
      <c r="B62" s="110"/>
      <c r="C62" s="107"/>
      <c r="D62" s="24" t="s">
        <v>581</v>
      </c>
      <c r="E62" s="24" t="s">
        <v>271</v>
      </c>
      <c r="F62" s="30" t="s">
        <v>477</v>
      </c>
      <c r="G62" s="138" t="s">
        <v>582</v>
      </c>
      <c r="H62" s="139" t="s">
        <v>414</v>
      </c>
      <c r="I62" s="140"/>
      <c r="J62" s="88" t="s">
        <v>415</v>
      </c>
      <c r="K62" s="88" t="s">
        <v>416</v>
      </c>
      <c r="L62" s="100"/>
    </row>
    <row r="63" customFormat="false" ht="91.5" hidden="true" customHeight="true" outlineLevel="0" collapsed="false">
      <c r="A63" s="18" t="s">
        <v>564</v>
      </c>
      <c r="B63" s="110"/>
      <c r="C63" s="107"/>
      <c r="D63" s="24" t="s">
        <v>583</v>
      </c>
      <c r="E63" s="24" t="s">
        <v>271</v>
      </c>
      <c r="F63" s="30" t="s">
        <v>455</v>
      </c>
      <c r="G63" s="138"/>
      <c r="H63" s="139"/>
      <c r="I63" s="140"/>
      <c r="J63" s="88" t="s">
        <v>442</v>
      </c>
      <c r="K63" s="88"/>
      <c r="L63" s="141"/>
    </row>
    <row r="64" customFormat="false" ht="81" hidden="true" customHeight="true" outlineLevel="0" collapsed="false">
      <c r="A64" s="18" t="s">
        <v>564</v>
      </c>
      <c r="B64" s="91" t="s">
        <v>273</v>
      </c>
      <c r="C64" s="16" t="s">
        <v>584</v>
      </c>
      <c r="D64" s="94" t="s">
        <v>585</v>
      </c>
      <c r="E64" s="24" t="s">
        <v>279</v>
      </c>
      <c r="F64" s="30" t="s">
        <v>280</v>
      </c>
      <c r="G64" s="94" t="s">
        <v>586</v>
      </c>
      <c r="H64" s="139" t="s">
        <v>414</v>
      </c>
      <c r="I64" s="139"/>
      <c r="J64" s="88" t="s">
        <v>415</v>
      </c>
      <c r="K64" s="88" t="s">
        <v>416</v>
      </c>
      <c r="L64" s="89" t="n">
        <f aca="false">'Register 2025-26'!V39</f>
        <v>0</v>
      </c>
    </row>
    <row r="65" customFormat="false" ht="137.25" hidden="true" customHeight="true" outlineLevel="0" collapsed="false">
      <c r="A65" s="18" t="s">
        <v>564</v>
      </c>
      <c r="B65" s="91" t="s">
        <v>281</v>
      </c>
      <c r="C65" s="16" t="s">
        <v>587</v>
      </c>
      <c r="D65" s="24" t="s">
        <v>588</v>
      </c>
      <c r="E65" s="24" t="s">
        <v>279</v>
      </c>
      <c r="F65" s="24" t="s">
        <v>589</v>
      </c>
      <c r="G65" s="24" t="s">
        <v>590</v>
      </c>
      <c r="H65" s="140" t="s">
        <v>414</v>
      </c>
      <c r="I65" s="142"/>
      <c r="J65" s="88" t="s">
        <v>415</v>
      </c>
      <c r="K65" s="88" t="s">
        <v>416</v>
      </c>
      <c r="L65" s="100" t="n">
        <f aca="false">'Register 2025-26'!V40</f>
        <v>0</v>
      </c>
    </row>
    <row r="66" customFormat="false" ht="80.25" hidden="true" customHeight="true" outlineLevel="0" collapsed="false">
      <c r="A66" s="18" t="s">
        <v>564</v>
      </c>
      <c r="B66" s="91"/>
      <c r="C66" s="16"/>
      <c r="D66" s="24" t="s">
        <v>591</v>
      </c>
      <c r="E66" s="24" t="s">
        <v>279</v>
      </c>
      <c r="F66" s="133" t="s">
        <v>104</v>
      </c>
      <c r="G66" s="24" t="s">
        <v>592</v>
      </c>
      <c r="H66" s="139" t="s">
        <v>414</v>
      </c>
      <c r="I66" s="139"/>
      <c r="J66" s="88" t="s">
        <v>415</v>
      </c>
      <c r="K66" s="88" t="s">
        <v>416</v>
      </c>
      <c r="L66" s="100"/>
    </row>
    <row r="67" s="148" customFormat="true" ht="86.25" hidden="true" customHeight="true" outlineLevel="0" collapsed="false">
      <c r="A67" s="143" t="s">
        <v>593</v>
      </c>
      <c r="B67" s="143" t="s">
        <v>288</v>
      </c>
      <c r="C67" s="144" t="s">
        <v>290</v>
      </c>
      <c r="D67" s="29" t="s">
        <v>594</v>
      </c>
      <c r="E67" s="29" t="s">
        <v>294</v>
      </c>
      <c r="F67" s="145" t="s">
        <v>595</v>
      </c>
      <c r="G67" s="146" t="s">
        <v>596</v>
      </c>
      <c r="H67" s="29"/>
      <c r="I67" s="145"/>
      <c r="J67" s="29" t="s">
        <v>442</v>
      </c>
      <c r="K67" s="88"/>
      <c r="L67" s="147" t="n">
        <f aca="false">'Register 2025-26'!V41</f>
        <v>0</v>
      </c>
    </row>
    <row r="68" s="148" customFormat="true" ht="88.5" hidden="true" customHeight="true" outlineLevel="0" collapsed="false">
      <c r="A68" s="143" t="s">
        <v>593</v>
      </c>
      <c r="B68" s="143"/>
      <c r="C68" s="144"/>
      <c r="D68" s="29" t="s">
        <v>597</v>
      </c>
      <c r="E68" s="29" t="s">
        <v>294</v>
      </c>
      <c r="F68" s="29" t="s">
        <v>44</v>
      </c>
      <c r="G68" s="29" t="s">
        <v>598</v>
      </c>
      <c r="H68" s="29"/>
      <c r="I68" s="29"/>
      <c r="J68" s="29" t="s">
        <v>415</v>
      </c>
      <c r="K68" s="88" t="s">
        <v>416</v>
      </c>
      <c r="L68" s="147"/>
    </row>
    <row r="69" customFormat="false" ht="79.5" hidden="true" customHeight="true" outlineLevel="0" collapsed="false">
      <c r="A69" s="143" t="s">
        <v>593</v>
      </c>
      <c r="B69" s="143" t="s">
        <v>297</v>
      </c>
      <c r="C69" s="144" t="s">
        <v>298</v>
      </c>
      <c r="D69" s="29" t="s">
        <v>599</v>
      </c>
      <c r="E69" s="29" t="s">
        <v>294</v>
      </c>
      <c r="F69" s="47" t="s">
        <v>491</v>
      </c>
      <c r="G69" s="29" t="s">
        <v>600</v>
      </c>
      <c r="H69" s="29"/>
      <c r="I69" s="29"/>
      <c r="J69" s="88" t="s">
        <v>415</v>
      </c>
      <c r="K69" s="88" t="s">
        <v>416</v>
      </c>
      <c r="L69" s="147" t="n">
        <f aca="false">'Register 2025-26'!V42</f>
        <v>0</v>
      </c>
    </row>
    <row r="70" customFormat="false" ht="123.75" hidden="true" customHeight="true" outlineLevel="0" collapsed="false">
      <c r="A70" s="143" t="s">
        <v>593</v>
      </c>
      <c r="B70" s="143"/>
      <c r="C70" s="144"/>
      <c r="D70" s="29" t="s">
        <v>601</v>
      </c>
      <c r="E70" s="29" t="s">
        <v>294</v>
      </c>
      <c r="F70" s="47" t="s">
        <v>491</v>
      </c>
      <c r="G70" s="146" t="s">
        <v>602</v>
      </c>
      <c r="H70" s="103"/>
      <c r="I70" s="29"/>
      <c r="J70" s="88" t="s">
        <v>415</v>
      </c>
      <c r="K70" s="88" t="s">
        <v>416</v>
      </c>
      <c r="L70" s="147"/>
    </row>
    <row r="71" customFormat="false" ht="60.75" hidden="true" customHeight="true" outlineLevel="0" collapsed="false">
      <c r="A71" s="143" t="s">
        <v>593</v>
      </c>
      <c r="B71" s="143"/>
      <c r="C71" s="144"/>
      <c r="D71" s="29" t="s">
        <v>603</v>
      </c>
      <c r="E71" s="29" t="s">
        <v>294</v>
      </c>
      <c r="F71" s="47" t="s">
        <v>491</v>
      </c>
      <c r="G71" s="146" t="s">
        <v>604</v>
      </c>
      <c r="H71" s="29"/>
      <c r="I71" s="29"/>
      <c r="J71" s="88" t="s">
        <v>415</v>
      </c>
      <c r="K71" s="88" t="s">
        <v>416</v>
      </c>
      <c r="L71" s="147"/>
    </row>
    <row r="72" customFormat="false" ht="57.75" hidden="true" customHeight="true" outlineLevel="0" collapsed="false">
      <c r="A72" s="143" t="s">
        <v>593</v>
      </c>
      <c r="B72" s="143"/>
      <c r="C72" s="144"/>
      <c r="D72" s="29" t="s">
        <v>605</v>
      </c>
      <c r="E72" s="29" t="s">
        <v>294</v>
      </c>
      <c r="F72" s="47" t="s">
        <v>491</v>
      </c>
      <c r="G72" s="29" t="s">
        <v>606</v>
      </c>
      <c r="H72" s="29"/>
      <c r="I72" s="29"/>
      <c r="J72" s="88" t="s">
        <v>415</v>
      </c>
      <c r="K72" s="88" t="s">
        <v>416</v>
      </c>
      <c r="L72" s="147"/>
    </row>
    <row r="73" customFormat="false" ht="81" hidden="true" customHeight="true" outlineLevel="0" collapsed="false">
      <c r="A73" s="143" t="s">
        <v>593</v>
      </c>
      <c r="B73" s="143"/>
      <c r="C73" s="144"/>
      <c r="D73" s="29" t="s">
        <v>607</v>
      </c>
      <c r="E73" s="29" t="s">
        <v>294</v>
      </c>
      <c r="F73" s="47" t="s">
        <v>491</v>
      </c>
      <c r="G73" s="29" t="s">
        <v>608</v>
      </c>
      <c r="H73" s="29"/>
      <c r="I73" s="29"/>
      <c r="J73" s="88" t="s">
        <v>415</v>
      </c>
      <c r="K73" s="88" t="s">
        <v>416</v>
      </c>
      <c r="L73" s="147"/>
    </row>
    <row r="74" customFormat="false" ht="67.5" hidden="true" customHeight="true" outlineLevel="0" collapsed="false">
      <c r="A74" s="143" t="s">
        <v>593</v>
      </c>
      <c r="B74" s="18" t="s">
        <v>304</v>
      </c>
      <c r="C74" s="16" t="s">
        <v>305</v>
      </c>
      <c r="D74" s="24" t="s">
        <v>609</v>
      </c>
      <c r="E74" s="29" t="s">
        <v>310</v>
      </c>
      <c r="F74" s="24" t="s">
        <v>610</v>
      </c>
      <c r="G74" s="29" t="s">
        <v>611</v>
      </c>
      <c r="H74" s="29"/>
      <c r="I74" s="29"/>
      <c r="J74" s="88" t="s">
        <v>415</v>
      </c>
      <c r="K74" s="88" t="s">
        <v>416</v>
      </c>
      <c r="L74" s="104" t="n">
        <f aca="false">'Register 2025-26'!V43</f>
        <v>0</v>
      </c>
    </row>
    <row r="75" customFormat="false" ht="56.25" hidden="true" customHeight="true" outlineLevel="0" collapsed="false">
      <c r="A75" s="143" t="s">
        <v>593</v>
      </c>
      <c r="B75" s="18"/>
      <c r="C75" s="16"/>
      <c r="D75" s="24" t="s">
        <v>612</v>
      </c>
      <c r="E75" s="29" t="s">
        <v>310</v>
      </c>
      <c r="F75" s="24" t="s">
        <v>104</v>
      </c>
      <c r="G75" s="29" t="s">
        <v>613</v>
      </c>
      <c r="H75" s="29"/>
      <c r="I75" s="29"/>
      <c r="J75" s="88" t="s">
        <v>415</v>
      </c>
      <c r="K75" s="88" t="s">
        <v>416</v>
      </c>
      <c r="L75" s="104"/>
    </row>
    <row r="76" customFormat="false" ht="56.25" hidden="true" customHeight="true" outlineLevel="0" collapsed="false">
      <c r="A76" s="143" t="s">
        <v>593</v>
      </c>
      <c r="B76" s="18"/>
      <c r="C76" s="16"/>
      <c r="D76" s="24" t="s">
        <v>614</v>
      </c>
      <c r="E76" s="29" t="s">
        <v>310</v>
      </c>
      <c r="F76" s="24" t="s">
        <v>104</v>
      </c>
      <c r="G76" s="29" t="s">
        <v>615</v>
      </c>
      <c r="H76" s="29"/>
      <c r="I76" s="29"/>
      <c r="J76" s="88" t="s">
        <v>415</v>
      </c>
      <c r="K76" s="88" t="s">
        <v>416</v>
      </c>
      <c r="L76" s="104"/>
    </row>
    <row r="77" customFormat="false" ht="42" hidden="true" customHeight="true" outlineLevel="0" collapsed="false">
      <c r="A77" s="143" t="s">
        <v>593</v>
      </c>
      <c r="B77" s="18"/>
      <c r="C77" s="16"/>
      <c r="D77" s="24" t="s">
        <v>616</v>
      </c>
      <c r="E77" s="29" t="s">
        <v>310</v>
      </c>
      <c r="F77" s="24" t="s">
        <v>477</v>
      </c>
      <c r="G77" s="93" t="s">
        <v>617</v>
      </c>
      <c r="H77" s="93" t="s">
        <v>618</v>
      </c>
      <c r="I77" s="29" t="s">
        <v>619</v>
      </c>
      <c r="J77" s="88" t="s">
        <v>415</v>
      </c>
      <c r="K77" s="88" t="s">
        <v>481</v>
      </c>
      <c r="L77" s="104"/>
    </row>
    <row r="78" customFormat="false" ht="90" hidden="true" customHeight="true" outlineLevel="0" collapsed="false">
      <c r="A78" s="91" t="s">
        <v>620</v>
      </c>
      <c r="B78" s="24" t="s">
        <v>312</v>
      </c>
      <c r="C78" s="16" t="s">
        <v>315</v>
      </c>
      <c r="D78" s="24" t="s">
        <v>621</v>
      </c>
      <c r="E78" s="32" t="s">
        <v>320</v>
      </c>
      <c r="F78" s="24" t="s">
        <v>622</v>
      </c>
      <c r="G78" s="149" t="s">
        <v>623</v>
      </c>
      <c r="H78" s="94" t="s">
        <v>414</v>
      </c>
      <c r="I78" s="94"/>
      <c r="J78" s="88" t="s">
        <v>415</v>
      </c>
      <c r="K78" s="88" t="s">
        <v>416</v>
      </c>
      <c r="L78" s="100" t="n">
        <f aca="false">'Register 2025-26'!V44</f>
        <v>0</v>
      </c>
    </row>
    <row r="79" customFormat="false" ht="173.25" hidden="true" customHeight="true" outlineLevel="0" collapsed="false">
      <c r="A79" s="91" t="s">
        <v>620</v>
      </c>
      <c r="B79" s="24"/>
      <c r="C79" s="16"/>
      <c r="D79" s="24" t="s">
        <v>624</v>
      </c>
      <c r="E79" s="32" t="s">
        <v>320</v>
      </c>
      <c r="F79" s="24" t="s">
        <v>622</v>
      </c>
      <c r="G79" s="130" t="s">
        <v>625</v>
      </c>
      <c r="H79" s="94" t="s">
        <v>414</v>
      </c>
      <c r="I79" s="94"/>
      <c r="J79" s="88" t="s">
        <v>415</v>
      </c>
      <c r="K79" s="88" t="s">
        <v>416</v>
      </c>
      <c r="L79" s="100"/>
    </row>
    <row r="80" customFormat="false" ht="72" hidden="true" customHeight="true" outlineLevel="0" collapsed="false">
      <c r="A80" s="91" t="s">
        <v>620</v>
      </c>
      <c r="B80" s="24"/>
      <c r="C80" s="16"/>
      <c r="D80" s="24" t="s">
        <v>626</v>
      </c>
      <c r="E80" s="32" t="s">
        <v>320</v>
      </c>
      <c r="F80" s="24" t="s">
        <v>622</v>
      </c>
      <c r="G80" s="130" t="s">
        <v>627</v>
      </c>
      <c r="H80" s="94" t="s">
        <v>414</v>
      </c>
      <c r="I80" s="94"/>
      <c r="J80" s="88" t="s">
        <v>415</v>
      </c>
      <c r="K80" s="88" t="s">
        <v>416</v>
      </c>
      <c r="L80" s="100"/>
    </row>
    <row r="81" customFormat="false" ht="74.25" hidden="true" customHeight="true" outlineLevel="0" collapsed="false">
      <c r="A81" s="91" t="s">
        <v>620</v>
      </c>
      <c r="B81" s="18" t="s">
        <v>322</v>
      </c>
      <c r="C81" s="16" t="s">
        <v>323</v>
      </c>
      <c r="D81" s="24" t="s">
        <v>628</v>
      </c>
      <c r="E81" s="32" t="s">
        <v>328</v>
      </c>
      <c r="F81" s="24" t="s">
        <v>622</v>
      </c>
      <c r="G81" s="28" t="s">
        <v>629</v>
      </c>
      <c r="H81" s="24" t="s">
        <v>630</v>
      </c>
      <c r="I81" s="94"/>
      <c r="J81" s="88" t="s">
        <v>415</v>
      </c>
      <c r="K81" s="88" t="s">
        <v>416</v>
      </c>
      <c r="L81" s="104" t="n">
        <f aca="false">'Register 2025-26'!V45</f>
        <v>0</v>
      </c>
    </row>
    <row r="82" customFormat="false" ht="105" hidden="true" customHeight="true" outlineLevel="0" collapsed="false">
      <c r="A82" s="91" t="s">
        <v>620</v>
      </c>
      <c r="B82" s="18"/>
      <c r="C82" s="16"/>
      <c r="D82" s="24" t="s">
        <v>631</v>
      </c>
      <c r="E82" s="32" t="s">
        <v>328</v>
      </c>
      <c r="F82" s="24" t="s">
        <v>632</v>
      </c>
      <c r="G82" s="150" t="s">
        <v>633</v>
      </c>
      <c r="H82" s="24" t="s">
        <v>630</v>
      </c>
      <c r="I82" s="94"/>
      <c r="J82" s="88" t="s">
        <v>442</v>
      </c>
      <c r="K82" s="88"/>
      <c r="L82" s="104"/>
    </row>
    <row r="83" customFormat="false" ht="88.5" hidden="true" customHeight="true" outlineLevel="0" collapsed="false">
      <c r="A83" s="91" t="s">
        <v>620</v>
      </c>
      <c r="B83" s="91" t="s">
        <v>330</v>
      </c>
      <c r="C83" s="16" t="s">
        <v>634</v>
      </c>
      <c r="D83" s="24" t="s">
        <v>635</v>
      </c>
      <c r="E83" s="32" t="s">
        <v>336</v>
      </c>
      <c r="F83" s="24" t="s">
        <v>636</v>
      </c>
      <c r="G83" s="94" t="s">
        <v>637</v>
      </c>
      <c r="H83" s="94" t="s">
        <v>414</v>
      </c>
      <c r="I83" s="94"/>
      <c r="J83" s="88" t="s">
        <v>415</v>
      </c>
      <c r="K83" s="88" t="s">
        <v>416</v>
      </c>
      <c r="L83" s="100" t="n">
        <f aca="false">'Register 2025-26'!V46</f>
        <v>0</v>
      </c>
    </row>
    <row r="84" customFormat="false" ht="94.5" hidden="true" customHeight="true" outlineLevel="0" collapsed="false">
      <c r="A84" s="91" t="s">
        <v>620</v>
      </c>
      <c r="B84" s="91"/>
      <c r="C84" s="16"/>
      <c r="D84" s="24" t="s">
        <v>638</v>
      </c>
      <c r="E84" s="32" t="s">
        <v>336</v>
      </c>
      <c r="F84" s="24" t="s">
        <v>477</v>
      </c>
      <c r="G84" s="151" t="s">
        <v>639</v>
      </c>
      <c r="H84" s="94" t="s">
        <v>414</v>
      </c>
      <c r="I84" s="94"/>
      <c r="J84" s="88" t="s">
        <v>415</v>
      </c>
      <c r="K84" s="88" t="s">
        <v>416</v>
      </c>
      <c r="L84" s="100"/>
    </row>
    <row r="85" customFormat="false" ht="125.25" hidden="true" customHeight="true" outlineLevel="0" collapsed="false">
      <c r="A85" s="91" t="s">
        <v>620</v>
      </c>
      <c r="B85" s="152" t="s">
        <v>338</v>
      </c>
      <c r="C85" s="16" t="s">
        <v>339</v>
      </c>
      <c r="D85" s="24" t="s">
        <v>640</v>
      </c>
      <c r="E85" s="24" t="s">
        <v>344</v>
      </c>
      <c r="F85" s="24" t="s">
        <v>641</v>
      </c>
      <c r="G85" s="94" t="s">
        <v>642</v>
      </c>
      <c r="H85" s="94"/>
      <c r="I85" s="153"/>
      <c r="J85" s="99" t="s">
        <v>415</v>
      </c>
      <c r="K85" s="88" t="s">
        <v>416</v>
      </c>
      <c r="L85" s="100" t="n">
        <f aca="false">'Register 2025-26'!V47</f>
        <v>0</v>
      </c>
    </row>
    <row r="86" customFormat="false" ht="114.75" hidden="true" customHeight="true" outlineLevel="0" collapsed="false">
      <c r="A86" s="91" t="s">
        <v>620</v>
      </c>
      <c r="B86" s="152"/>
      <c r="C86" s="16"/>
      <c r="D86" s="118" t="s">
        <v>643</v>
      </c>
      <c r="E86" s="24" t="s">
        <v>344</v>
      </c>
      <c r="F86" s="24" t="s">
        <v>641</v>
      </c>
      <c r="G86" s="94" t="s">
        <v>644</v>
      </c>
      <c r="H86" s="94" t="s">
        <v>645</v>
      </c>
      <c r="I86" s="24" t="s">
        <v>480</v>
      </c>
      <c r="J86" s="99" t="s">
        <v>415</v>
      </c>
      <c r="K86" s="88" t="s">
        <v>481</v>
      </c>
      <c r="L86" s="100"/>
    </row>
    <row r="89" customFormat="false" ht="12.75" hidden="false" customHeight="false" outlineLevel="0" collapsed="false">
      <c r="H89" s="80" t="s">
        <v>416</v>
      </c>
      <c r="J89" s="80" t="n">
        <f aca="false">COUNTIF(K2:$K$86,H89)</f>
        <v>68</v>
      </c>
      <c r="K89" s="135" t="n">
        <f aca="false">+J89/$J$92</f>
        <v>0.944444444444444</v>
      </c>
      <c r="L89" s="135" t="n">
        <f aca="false">+K89/$J$92</f>
        <v>0.0131172839506173</v>
      </c>
    </row>
    <row r="90" customFormat="false" ht="12.75" hidden="false" customHeight="false" outlineLevel="0" collapsed="false">
      <c r="H90" s="80" t="s">
        <v>646</v>
      </c>
      <c r="J90" s="80" t="n">
        <f aca="false">COUNTIF(K2:$K$86,H90)</f>
        <v>0</v>
      </c>
      <c r="K90" s="135" t="n">
        <f aca="false">+J90/$J$92</f>
        <v>0</v>
      </c>
      <c r="L90" s="135"/>
    </row>
    <row r="91" customFormat="false" ht="12.75" hidden="false" customHeight="false" outlineLevel="0" collapsed="false">
      <c r="H91" s="80" t="s">
        <v>481</v>
      </c>
      <c r="J91" s="80" t="n">
        <f aca="false">COUNTIF(K3:$K$86,H91)</f>
        <v>4</v>
      </c>
      <c r="K91" s="135" t="n">
        <f aca="false">+J91/$J$92</f>
        <v>0.0555555555555556</v>
      </c>
      <c r="L91" s="135"/>
    </row>
    <row r="92" customFormat="false" ht="12.75" hidden="false" customHeight="false" outlineLevel="0" collapsed="false">
      <c r="H92" s="80" t="s">
        <v>647</v>
      </c>
      <c r="J92" s="80" t="n">
        <f aca="false">SUM(J89:J91)</f>
        <v>72</v>
      </c>
    </row>
    <row r="94" customFormat="false" ht="12.75" hidden="true" customHeight="false" outlineLevel="0" collapsed="false">
      <c r="H94" s="80" t="s">
        <v>416</v>
      </c>
    </row>
    <row r="95" customFormat="false" ht="12.75" hidden="true" customHeight="false" outlineLevel="0" collapsed="false">
      <c r="H95" s="80" t="s">
        <v>481</v>
      </c>
    </row>
    <row r="96" customFormat="false" ht="12.75" hidden="true" customHeight="false" outlineLevel="0" collapsed="false"/>
  </sheetData>
  <autoFilter ref="A1:K86">
    <filterColumn colId="0">
      <filters>
        <filter val="HSFP"/>
      </filters>
    </filterColumn>
  </autoFilter>
  <mergeCells count="78">
    <mergeCell ref="B5:B7"/>
    <mergeCell ref="C5:C7"/>
    <mergeCell ref="B8:B9"/>
    <mergeCell ref="C8:C9"/>
    <mergeCell ref="L8:L9"/>
    <mergeCell ref="B12:B13"/>
    <mergeCell ref="C12:C13"/>
    <mergeCell ref="L12:L13"/>
    <mergeCell ref="C14:C16"/>
    <mergeCell ref="B17:B19"/>
    <mergeCell ref="C17:C19"/>
    <mergeCell ref="L17:L19"/>
    <mergeCell ref="B22:B24"/>
    <mergeCell ref="C22:C24"/>
    <mergeCell ref="L22:L24"/>
    <mergeCell ref="B25:B28"/>
    <mergeCell ref="C25:C28"/>
    <mergeCell ref="L25:L28"/>
    <mergeCell ref="B29:B30"/>
    <mergeCell ref="C29:C30"/>
    <mergeCell ref="L29:L30"/>
    <mergeCell ref="B31:B32"/>
    <mergeCell ref="C31:C32"/>
    <mergeCell ref="L31:L32"/>
    <mergeCell ref="B33:B34"/>
    <mergeCell ref="C33:C34"/>
    <mergeCell ref="L33:L34"/>
    <mergeCell ref="B36:B37"/>
    <mergeCell ref="C36:C37"/>
    <mergeCell ref="L36:L37"/>
    <mergeCell ref="B38:B40"/>
    <mergeCell ref="C38:C40"/>
    <mergeCell ref="L38:L40"/>
    <mergeCell ref="B41:B44"/>
    <mergeCell ref="C41:C44"/>
    <mergeCell ref="L41:L44"/>
    <mergeCell ref="B45:B46"/>
    <mergeCell ref="C45:C46"/>
    <mergeCell ref="L45:L46"/>
    <mergeCell ref="B48:B49"/>
    <mergeCell ref="C48:C49"/>
    <mergeCell ref="L48:L49"/>
    <mergeCell ref="B51:B52"/>
    <mergeCell ref="C51:C52"/>
    <mergeCell ref="L51:L52"/>
    <mergeCell ref="B53:B55"/>
    <mergeCell ref="C53:C55"/>
    <mergeCell ref="L53:L55"/>
    <mergeCell ref="B56:B58"/>
    <mergeCell ref="C56:C58"/>
    <mergeCell ref="L56:L58"/>
    <mergeCell ref="B59:B63"/>
    <mergeCell ref="C59:C63"/>
    <mergeCell ref="L59:L62"/>
    <mergeCell ref="B65:B66"/>
    <mergeCell ref="C65:C66"/>
    <mergeCell ref="L65:L66"/>
    <mergeCell ref="B67:B68"/>
    <mergeCell ref="C67:C68"/>
    <mergeCell ref="L67:L68"/>
    <mergeCell ref="B69:B73"/>
    <mergeCell ref="C69:C73"/>
    <mergeCell ref="L69:L73"/>
    <mergeCell ref="B74:B77"/>
    <mergeCell ref="C74:C77"/>
    <mergeCell ref="L74:L77"/>
    <mergeCell ref="B78:B80"/>
    <mergeCell ref="C78:C80"/>
    <mergeCell ref="L78:L80"/>
    <mergeCell ref="B81:B82"/>
    <mergeCell ref="C81:C82"/>
    <mergeCell ref="L81:L82"/>
    <mergeCell ref="B83:B84"/>
    <mergeCell ref="C83:C84"/>
    <mergeCell ref="L83:L84"/>
    <mergeCell ref="B85:B86"/>
    <mergeCell ref="C85:C86"/>
    <mergeCell ref="L85:L86"/>
  </mergeCells>
  <conditionalFormatting sqref="L2:L86">
    <cfRule type="cellIs" priority="2" operator="between" aboveAverage="0" equalAverage="0" bottom="0" percent="0" rank="0" text="" dxfId="21">
      <formula>15</formula>
      <formula>25</formula>
    </cfRule>
    <cfRule type="cellIs" priority="3" operator="between" aboveAverage="0" equalAverage="0" bottom="0" percent="0" rank="0" text="" dxfId="22">
      <formula>1</formula>
      <formula>4.8</formula>
    </cfRule>
    <cfRule type="cellIs" priority="4" operator="between" aboveAverage="0" equalAverage="0" bottom="0" percent="0" rank="0" text="" dxfId="23">
      <formula>5</formula>
      <formula>14</formula>
    </cfRule>
    <cfRule type="cellIs" priority="5" operator="between" aboveAverage="0" equalAverage="0" bottom="0" percent="0" rank="0" text="" dxfId="24">
      <formula>1</formula>
      <formula>4.8</formula>
    </cfRule>
  </conditionalFormatting>
  <conditionalFormatting sqref="F48:F49">
    <cfRule type="cellIs" priority="6" operator="between" aboveAverage="0" equalAverage="0" bottom="0" percent="0" rank="0" text="" dxfId="25">
      <formula>1</formula>
      <formula>4</formula>
    </cfRule>
    <cfRule type="cellIs" priority="7" operator="between" aboveAverage="0" equalAverage="0" bottom="0" percent="0" rank="0" text="" dxfId="26">
      <formula>5</formula>
      <formula>14</formula>
    </cfRule>
    <cfRule type="cellIs" priority="8" operator="between" aboveAverage="0" equalAverage="0" bottom="0" percent="0" rank="0" text="" dxfId="27">
      <formula>15</formula>
      <formula>25</formula>
    </cfRule>
  </conditionalFormatting>
  <dataValidations count="3">
    <dataValidation allowBlank="true" errorStyle="stop" operator="between" showDropDown="false" showErrorMessage="true" showInputMessage="true" sqref="K2:K23 K26:K86" type="list">
      <formula1>$H$94:$H$95</formula1>
      <formula2>0</formula2>
    </dataValidation>
    <dataValidation allowBlank="true" errorStyle="stop" operator="between" showDropDown="false" showErrorMessage="true" showInputMessage="true" sqref="J2:J7 J29:J38 J40:J55 J67:J86" type="list">
      <formula1>Tolerance!$B$58:$B$59</formula1>
      <formula2>0</formula2>
    </dataValidation>
    <dataValidation allowBlank="true" errorStyle="stop" operator="between" showDropDown="false" showErrorMessage="true" showInputMessage="true" sqref="J39" type="list">
      <formula1>Tolerance!$C$58:$C$60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X83"/>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F2" activeCellId="0" sqref="F2"/>
    </sheetView>
  </sheetViews>
  <sheetFormatPr defaultColWidth="8.71484375" defaultRowHeight="15" zeroHeight="false" outlineLevelRow="0" outlineLevelCol="0"/>
  <cols>
    <col collapsed="false" customWidth="true" hidden="false" outlineLevel="0" max="1" min="1" style="60" width="16.85"/>
    <col collapsed="false" customWidth="true" hidden="false" outlineLevel="0" max="2" min="2" style="61" width="14.71"/>
    <col collapsed="false" customWidth="true" hidden="false" outlineLevel="0" max="3" min="3" style="154" width="19.71"/>
    <col collapsed="false" customWidth="true" hidden="false" outlineLevel="0" max="4" min="4" style="60" width="28.57"/>
    <col collapsed="false" customWidth="true" hidden="false" outlineLevel="0" max="5" min="5" style="61" width="27.57"/>
    <col collapsed="false" customWidth="true" hidden="false" outlineLevel="0" max="6" min="6" style="61" width="28.57"/>
    <col collapsed="false" customWidth="true" hidden="false" outlineLevel="0" max="7" min="7" style="60" width="25.71"/>
    <col collapsed="false" customWidth="true" hidden="false" outlineLevel="0" max="8" min="8" style="60" width="26.15"/>
    <col collapsed="false" customWidth="true" hidden="false" outlineLevel="0" max="9" min="9" style="60" width="26.57"/>
    <col collapsed="false" customWidth="true" hidden="false" outlineLevel="0" max="10" min="10" style="60" width="13.15"/>
    <col collapsed="false" customWidth="true" hidden="false" outlineLevel="0" max="11" min="11" style="60" width="11.57"/>
    <col collapsed="false" customWidth="true" hidden="false" outlineLevel="0" max="12" min="12" style="60" width="13.42"/>
    <col collapsed="false" customWidth="true" hidden="false" outlineLevel="0" max="13" min="13" style="60" width="35.57"/>
    <col collapsed="false" customWidth="true" hidden="false" outlineLevel="0" max="14" min="14" style="62" width="14.71"/>
    <col collapsed="false" customWidth="true" hidden="false" outlineLevel="0" max="15" min="15" style="60" width="14.57"/>
    <col collapsed="false" customWidth="true" hidden="false" outlineLevel="0" max="16" min="16" style="61" width="10.57"/>
    <col collapsed="false" customWidth="true" hidden="false" outlineLevel="0" max="17" min="17" style="60" width="12"/>
    <col collapsed="false" customWidth="true" hidden="false" outlineLevel="0" max="18" min="18" style="63" width="14.71"/>
    <col collapsed="false" customWidth="true" hidden="false" outlineLevel="0" max="19" min="19" style="63" width="15.57"/>
    <col collapsed="false" customWidth="true" hidden="false" outlineLevel="0" max="20" min="20" style="61" width="20.29"/>
    <col collapsed="false" customWidth="true" hidden="false" outlineLevel="0" max="21" min="21" style="60" width="23.42"/>
    <col collapsed="false" customWidth="true" hidden="false" outlineLevel="0" max="22" min="22" style="60" width="21.57"/>
    <col collapsed="false" customWidth="true" hidden="false" outlineLevel="0" max="23" min="23" style="61" width="17.57"/>
    <col collapsed="false" customWidth="true" hidden="false" outlineLevel="0" max="24" min="24" style="60" width="79"/>
    <col collapsed="false" customWidth="false" hidden="false" outlineLevel="0" max="16384" min="25" style="60" width="8.71"/>
  </cols>
  <sheetData>
    <row r="1" s="70" customFormat="true" ht="148.5" hidden="false" customHeight="false" outlineLevel="0" collapsed="false">
      <c r="A1" s="66" t="s">
        <v>348</v>
      </c>
      <c r="B1" s="65" t="s">
        <v>2</v>
      </c>
      <c r="C1" s="66" t="s">
        <v>402</v>
      </c>
      <c r="D1" s="66" t="s">
        <v>648</v>
      </c>
      <c r="E1" s="65" t="s">
        <v>4</v>
      </c>
      <c r="F1" s="65" t="s">
        <v>349</v>
      </c>
      <c r="G1" s="66" t="s">
        <v>5</v>
      </c>
      <c r="H1" s="67" t="s">
        <v>6</v>
      </c>
      <c r="I1" s="67" t="s">
        <v>7</v>
      </c>
      <c r="J1" s="68" t="s">
        <v>350</v>
      </c>
      <c r="K1" s="68" t="s">
        <v>9</v>
      </c>
      <c r="L1" s="68" t="s">
        <v>351</v>
      </c>
      <c r="M1" s="66" t="s">
        <v>11</v>
      </c>
      <c r="N1" s="69" t="s">
        <v>12</v>
      </c>
      <c r="O1" s="69" t="s">
        <v>13</v>
      </c>
      <c r="P1" s="65" t="s">
        <v>352</v>
      </c>
      <c r="Q1" s="68" t="s">
        <v>353</v>
      </c>
      <c r="R1" s="68" t="s">
        <v>16</v>
      </c>
      <c r="S1" s="68" t="s">
        <v>354</v>
      </c>
      <c r="T1" s="65" t="s">
        <v>18</v>
      </c>
      <c r="U1" s="66" t="s">
        <v>19</v>
      </c>
      <c r="V1" s="66" t="s">
        <v>20</v>
      </c>
      <c r="W1" s="65" t="s">
        <v>21</v>
      </c>
      <c r="X1" s="65" t="s">
        <v>355</v>
      </c>
    </row>
    <row r="2" customFormat="false" ht="217.15" hidden="false" customHeight="false" outlineLevel="0" collapsed="false">
      <c r="A2" s="155" t="s">
        <v>649</v>
      </c>
      <c r="B2" s="156" t="s">
        <v>650</v>
      </c>
      <c r="C2" s="155" t="s">
        <v>651</v>
      </c>
      <c r="D2" s="155" t="s">
        <v>652</v>
      </c>
      <c r="E2" s="156" t="s">
        <v>653</v>
      </c>
      <c r="F2" s="71" t="s">
        <v>654</v>
      </c>
      <c r="G2" s="155" t="s">
        <v>655</v>
      </c>
      <c r="H2" s="157" t="s">
        <v>656</v>
      </c>
      <c r="I2" s="155" t="s">
        <v>657</v>
      </c>
      <c r="J2" s="158" t="n">
        <v>3</v>
      </c>
      <c r="K2" s="158" t="n">
        <v>4</v>
      </c>
      <c r="L2" s="159" t="n">
        <f aca="false">J2*K2</f>
        <v>12</v>
      </c>
      <c r="M2" s="155" t="s">
        <v>658</v>
      </c>
      <c r="N2" s="160" t="s">
        <v>50</v>
      </c>
      <c r="O2" s="77" t="n">
        <f aca="false">IF(N2="very good", 0.2, IF(N2="good", 0.4, IF(N2="Satisfactory", 0.6, IF(N2="weak", 0.8, IF(N2="non existent", 1)))))</f>
        <v>0.4</v>
      </c>
      <c r="P2" s="159" t="n">
        <f aca="false">L2*O2</f>
        <v>4.8</v>
      </c>
      <c r="Q2" s="161" t="e">
        <f aca="false">IF(P2&lt;=4,R1"Acceptable ",IF(P2&lt;=14,"Moderalety AcceptableU1","Unacceptable"))</f>
        <v>#VALUE!</v>
      </c>
      <c r="R2" s="161" t="str">
        <f aca="false">IF(P2&lt;=4,"Low Risk",IF(P2&lt;=14,"Medium Risk","High Risk"))</f>
        <v>Medium Risk</v>
      </c>
      <c r="S2" s="161" t="str">
        <f aca="false">IF(R2="High Risk","Treatment",IF(R2="Medium Risk","Treatment","Tolerate"))</f>
        <v>Treatment</v>
      </c>
      <c r="T2" s="155" t="s">
        <v>659</v>
      </c>
      <c r="U2" s="155" t="s">
        <v>660</v>
      </c>
      <c r="V2" s="155" t="s">
        <v>661</v>
      </c>
      <c r="W2" s="162" t="s">
        <v>662</v>
      </c>
      <c r="X2" s="155"/>
    </row>
    <row r="3" customFormat="false" ht="293.25" hidden="false" customHeight="false" outlineLevel="0" collapsed="false">
      <c r="A3" s="71" t="s">
        <v>663</v>
      </c>
      <c r="B3" s="156" t="s">
        <v>664</v>
      </c>
      <c r="C3" s="155" t="s">
        <v>64</v>
      </c>
      <c r="D3" s="155" t="s">
        <v>665</v>
      </c>
      <c r="E3" s="156" t="s">
        <v>666</v>
      </c>
      <c r="F3" s="71" t="s">
        <v>667</v>
      </c>
      <c r="G3" s="155" t="s">
        <v>668</v>
      </c>
      <c r="H3" s="155" t="s">
        <v>669</v>
      </c>
      <c r="I3" s="155" t="s">
        <v>670</v>
      </c>
      <c r="J3" s="158" t="n">
        <v>3</v>
      </c>
      <c r="K3" s="158" t="n">
        <v>4</v>
      </c>
      <c r="L3" s="159" t="n">
        <f aca="false">J3*K3</f>
        <v>12</v>
      </c>
      <c r="M3" s="155" t="s">
        <v>671</v>
      </c>
      <c r="N3" s="160" t="s">
        <v>30</v>
      </c>
      <c r="O3" s="77" t="n">
        <f aca="false">IF(N3="very good", 0.2, IF(N3="good", 0.4, IF(N3="Satisfactory", 0.6, IF(N3="weak", 0.8, IF(N3="non existent", 1)))))</f>
        <v>0.6</v>
      </c>
      <c r="P3" s="159" t="n">
        <f aca="false">L3*O3</f>
        <v>7.2</v>
      </c>
      <c r="Q3" s="161" t="str">
        <f aca="false">IF(P3&lt;=4,"Acceptable ",IF(P3&lt;=14,"Moderalety Acceptable","Unacceptable"))</f>
        <v>Moderalety Acceptable</v>
      </c>
      <c r="R3" s="161" t="str">
        <f aca="false">IF(P3&lt;=4,"Low Risk",IF(P3&lt;=14,"Medium Risk","High Risk"))</f>
        <v>Medium Risk</v>
      </c>
      <c r="S3" s="161" t="str">
        <f aca="false">IF(R3="High Risk","Treatment",IF(R3="Medium Risk","Treatment","Tolerate"))</f>
        <v>Treatment</v>
      </c>
      <c r="T3" s="155" t="s">
        <v>672</v>
      </c>
      <c r="U3" s="163" t="s">
        <v>673</v>
      </c>
      <c r="V3" s="71" t="s">
        <v>674</v>
      </c>
      <c r="W3" s="155" t="s">
        <v>675</v>
      </c>
      <c r="X3" s="155"/>
    </row>
    <row r="4" customFormat="false" ht="204.45" hidden="false" customHeight="false" outlineLevel="0" collapsed="false">
      <c r="A4" s="71" t="s">
        <v>663</v>
      </c>
      <c r="B4" s="156" t="s">
        <v>676</v>
      </c>
      <c r="C4" s="155" t="s">
        <v>64</v>
      </c>
      <c r="D4" s="155" t="s">
        <v>677</v>
      </c>
      <c r="E4" s="156" t="s">
        <v>666</v>
      </c>
      <c r="F4" s="71" t="s">
        <v>678</v>
      </c>
      <c r="G4" s="155" t="s">
        <v>679</v>
      </c>
      <c r="H4" s="164" t="s">
        <v>680</v>
      </c>
      <c r="I4" s="155" t="s">
        <v>681</v>
      </c>
      <c r="J4" s="158" t="n">
        <v>3</v>
      </c>
      <c r="K4" s="158" t="n">
        <v>4</v>
      </c>
      <c r="L4" s="159" t="n">
        <f aca="false">J4*K4</f>
        <v>12</v>
      </c>
      <c r="M4" s="155" t="s">
        <v>682</v>
      </c>
      <c r="N4" s="160" t="s">
        <v>30</v>
      </c>
      <c r="O4" s="77" t="n">
        <f aca="false">IF(N4="very good", 0.2, IF(N4="good", 0.4, IF(N4="Satisfactory", 0.6, IF(N4="weak", 0.8, IF(N4="non existent", 1)))))</f>
        <v>0.6</v>
      </c>
      <c r="P4" s="159" t="n">
        <f aca="false">L4*O4</f>
        <v>7.2</v>
      </c>
      <c r="Q4" s="161" t="str">
        <f aca="false">IF(P4&lt;=4,"Acceptable ",IF(P4&lt;=14,"Moderalety Acceptable","Unacceptable"))</f>
        <v>Moderalety Acceptable</v>
      </c>
      <c r="R4" s="161" t="str">
        <f aca="false">IF(P4&lt;=4,"Low Risk",IF(P4&lt;=14,"Medium Risk","High Risk"))</f>
        <v>Medium Risk</v>
      </c>
      <c r="S4" s="161" t="str">
        <f aca="false">IF(R4="High Risk","Treatment",IF(R4="Medium Risk","Treatment","Tolerate"))</f>
        <v>Treatment</v>
      </c>
      <c r="T4" s="155" t="s">
        <v>672</v>
      </c>
      <c r="U4" s="155" t="s">
        <v>683</v>
      </c>
      <c r="V4" s="155" t="s">
        <v>80</v>
      </c>
      <c r="W4" s="155" t="s">
        <v>180</v>
      </c>
      <c r="X4" s="155"/>
    </row>
    <row r="5" customFormat="false" ht="217.15" hidden="false" customHeight="false" outlineLevel="0" collapsed="false">
      <c r="A5" s="71" t="s">
        <v>663</v>
      </c>
      <c r="B5" s="156" t="s">
        <v>684</v>
      </c>
      <c r="C5" s="155" t="s">
        <v>64</v>
      </c>
      <c r="D5" s="155" t="s">
        <v>677</v>
      </c>
      <c r="E5" s="156" t="s">
        <v>666</v>
      </c>
      <c r="F5" s="71" t="s">
        <v>685</v>
      </c>
      <c r="G5" s="163" t="s">
        <v>686</v>
      </c>
      <c r="H5" s="155" t="s">
        <v>687</v>
      </c>
      <c r="I5" s="155" t="s">
        <v>688</v>
      </c>
      <c r="J5" s="158" t="n">
        <v>4</v>
      </c>
      <c r="K5" s="158" t="n">
        <v>3</v>
      </c>
      <c r="L5" s="159" t="n">
        <f aca="false">J5*K5</f>
        <v>12</v>
      </c>
      <c r="M5" s="155" t="s">
        <v>689</v>
      </c>
      <c r="N5" s="160" t="s">
        <v>236</v>
      </c>
      <c r="O5" s="77" t="n">
        <f aca="false">IF(N5="very good", 0.2, IF(N5="good", 0.4, IF(N5="Satisfactory", 0.6, IF(N5="weak", 0.8, IF(N5="non existent", 1)))))</f>
        <v>0.8</v>
      </c>
      <c r="P5" s="159" t="n">
        <f aca="false">L5*O5</f>
        <v>9.6</v>
      </c>
      <c r="Q5" s="161" t="str">
        <f aca="false">IF(P5&lt;=4,"Acceptable ",IF(P5&lt;=14,"Moderalety Acceptable","Unacceptable"))</f>
        <v>Moderalety Acceptable</v>
      </c>
      <c r="R5" s="161" t="str">
        <f aca="false">IF(P5&lt;=4,"Low Risk",IF(P5&lt;=14,"Medium Risk","High Risk"))</f>
        <v>Medium Risk</v>
      </c>
      <c r="S5" s="161" t="str">
        <f aca="false">IF(R5="High Risk","Treatment",IF(R5="Medium Risk","Treatment","Tolerate"))</f>
        <v>Treatment</v>
      </c>
      <c r="T5" s="155" t="s">
        <v>672</v>
      </c>
      <c r="U5" s="155" t="s">
        <v>690</v>
      </c>
      <c r="V5" s="155" t="s">
        <v>80</v>
      </c>
      <c r="W5" s="163" t="s">
        <v>691</v>
      </c>
      <c r="X5" s="155"/>
    </row>
    <row r="6" customFormat="false" ht="229.85" hidden="false" customHeight="false" outlineLevel="0" collapsed="false">
      <c r="A6" s="71" t="s">
        <v>663</v>
      </c>
      <c r="B6" s="156" t="s">
        <v>692</v>
      </c>
      <c r="C6" s="155" t="s">
        <v>64</v>
      </c>
      <c r="D6" s="155" t="s">
        <v>693</v>
      </c>
      <c r="E6" s="156" t="s">
        <v>666</v>
      </c>
      <c r="F6" s="165" t="s">
        <v>685</v>
      </c>
      <c r="G6" s="155" t="s">
        <v>694</v>
      </c>
      <c r="H6" s="163" t="s">
        <v>695</v>
      </c>
      <c r="I6" s="155" t="s">
        <v>696</v>
      </c>
      <c r="J6" s="158" t="n">
        <v>3</v>
      </c>
      <c r="K6" s="158" t="n">
        <v>3</v>
      </c>
      <c r="L6" s="159" t="n">
        <f aca="false">J6*K6</f>
        <v>9</v>
      </c>
      <c r="M6" s="155" t="s">
        <v>697</v>
      </c>
      <c r="N6" s="160" t="s">
        <v>30</v>
      </c>
      <c r="O6" s="77" t="n">
        <f aca="false">IF(N6="very good", 0.2, IF(N6="good", 0.4, IF(N6="Satisfactory", 0.6, IF(N6="weak", 0.8, IF(N6="non existent", 1)))))</f>
        <v>0.6</v>
      </c>
      <c r="P6" s="159" t="n">
        <f aca="false">L6*O6</f>
        <v>5.4</v>
      </c>
      <c r="Q6" s="161" t="str">
        <f aca="false">IF(P6&lt;=4,"Acceptable ",IF(P6&lt;=14,"Moderalety Acceptable","Unacceptable"))</f>
        <v>Moderalety Acceptable</v>
      </c>
      <c r="R6" s="161" t="str">
        <f aca="false">IF(P6&lt;=4,"Low Risk",IF(P6&lt;=14,"Medium Risk","High Risk"))</f>
        <v>Medium Risk</v>
      </c>
      <c r="S6" s="161" t="str">
        <f aca="false">IF(R6="High Risk","Treatment",IF(R6="Medium Risk","Treatment","Tolerate"))</f>
        <v>Treatment</v>
      </c>
      <c r="T6" s="155" t="s">
        <v>672</v>
      </c>
      <c r="U6" s="163" t="s">
        <v>698</v>
      </c>
      <c r="V6" s="155" t="s">
        <v>448</v>
      </c>
      <c r="W6" s="163" t="s">
        <v>691</v>
      </c>
      <c r="X6" s="155"/>
    </row>
    <row r="7" customFormat="false" ht="131.3" hidden="false" customHeight="false" outlineLevel="0" collapsed="false">
      <c r="A7" s="71" t="s">
        <v>699</v>
      </c>
      <c r="B7" s="156" t="s">
        <v>700</v>
      </c>
      <c r="C7" s="155" t="s">
        <v>701</v>
      </c>
      <c r="D7" s="155" t="s">
        <v>702</v>
      </c>
      <c r="E7" s="156" t="s">
        <v>666</v>
      </c>
      <c r="F7" s="166" t="s">
        <v>703</v>
      </c>
      <c r="G7" s="155" t="s">
        <v>704</v>
      </c>
      <c r="H7" s="155" t="s">
        <v>705</v>
      </c>
      <c r="I7" s="155" t="s">
        <v>706</v>
      </c>
      <c r="J7" s="158" t="n">
        <v>5</v>
      </c>
      <c r="K7" s="158" t="n">
        <v>4</v>
      </c>
      <c r="L7" s="159" t="n">
        <f aca="false">J7*K7</f>
        <v>20</v>
      </c>
      <c r="M7" s="155" t="s">
        <v>707</v>
      </c>
      <c r="N7" s="160" t="s">
        <v>361</v>
      </c>
      <c r="O7" s="77" t="n">
        <f aca="false">IF(N7="very good", 0.2, IF(N7="good", 0.4, IF(N7="Satisfactory", 0.6, IF(N7="weak", 0.8, IF(N7="non existent", 1)))))</f>
        <v>0.6</v>
      </c>
      <c r="P7" s="159" t="n">
        <f aca="false">L7*O7</f>
        <v>12</v>
      </c>
      <c r="Q7" s="161" t="str">
        <f aca="false">IF(P7&lt;=4,"Acceptable ",IF(P7&lt;=14,"Moderalety Acceptable","Unacceptable"))</f>
        <v>Moderalety Acceptable</v>
      </c>
      <c r="R7" s="161" t="str">
        <f aca="false">IF(P7&lt;=4,"Low Risk",IF(P7&lt;=14,"Medium Risk","High Risk"))</f>
        <v>Medium Risk</v>
      </c>
      <c r="S7" s="161" t="str">
        <f aca="false">IF(R7="High Risk","Treatment",IF(R7="Medium Risk","Treatment","Tolerate"))</f>
        <v>Treatment</v>
      </c>
      <c r="T7" s="167" t="s">
        <v>58</v>
      </c>
      <c r="U7" s="163" t="s">
        <v>708</v>
      </c>
      <c r="V7" s="167" t="s">
        <v>709</v>
      </c>
      <c r="W7" s="165" t="s">
        <v>710</v>
      </c>
      <c r="X7" s="155"/>
    </row>
    <row r="8" customFormat="false" ht="131.3" hidden="false" customHeight="false" outlineLevel="0" collapsed="false">
      <c r="A8" s="71" t="s">
        <v>699</v>
      </c>
      <c r="B8" s="156" t="s">
        <v>711</v>
      </c>
      <c r="C8" s="155" t="s">
        <v>701</v>
      </c>
      <c r="D8" s="168" t="s">
        <v>712</v>
      </c>
      <c r="E8" s="156" t="s">
        <v>666</v>
      </c>
      <c r="F8" s="71" t="s">
        <v>713</v>
      </c>
      <c r="G8" s="155" t="s">
        <v>714</v>
      </c>
      <c r="H8" s="155" t="s">
        <v>715</v>
      </c>
      <c r="I8" s="155" t="s">
        <v>716</v>
      </c>
      <c r="J8" s="158" t="n">
        <v>4</v>
      </c>
      <c r="K8" s="158" t="n">
        <v>5</v>
      </c>
      <c r="L8" s="159" t="n">
        <f aca="false">J8*K8</f>
        <v>20</v>
      </c>
      <c r="M8" s="155" t="s">
        <v>717</v>
      </c>
      <c r="N8" s="160" t="s">
        <v>718</v>
      </c>
      <c r="O8" s="77" t="n">
        <f aca="false">IF(N8="very good", 0.2, IF(N8="good", 0.4, IF(N8="Satisfactory", 0.6, IF(N8="weak", 0.8, IF(N8="non existent", 1)))))</f>
        <v>0.4</v>
      </c>
      <c r="P8" s="159" t="n">
        <f aca="false">L8*O8</f>
        <v>8</v>
      </c>
      <c r="Q8" s="161" t="str">
        <f aca="false">IF(P8&lt;=4,"Acceptable ",IF(P8&lt;=14,"Moderalety Acceptable","Unacceptable"))</f>
        <v>Moderalety Acceptable</v>
      </c>
      <c r="R8" s="161" t="str">
        <f aca="false">IF(P8&lt;=4,"Low Risk",IF(P8&lt;=14,"Medium Risk","High Risk"))</f>
        <v>Medium Risk</v>
      </c>
      <c r="S8" s="161" t="str">
        <f aca="false">IF(R8="High Risk","Treatment",IF(R8="Medium Risk","Treatment","Tolerate"))</f>
        <v>Treatment</v>
      </c>
      <c r="T8" s="167" t="s">
        <v>58</v>
      </c>
      <c r="U8" s="169" t="s">
        <v>719</v>
      </c>
      <c r="V8" s="167" t="s">
        <v>720</v>
      </c>
      <c r="W8" s="163" t="s">
        <v>721</v>
      </c>
      <c r="X8" s="155"/>
    </row>
    <row r="9" customFormat="false" ht="128.35" hidden="false" customHeight="false" outlineLevel="0" collapsed="false">
      <c r="A9" s="71" t="s">
        <v>699</v>
      </c>
      <c r="B9" s="156" t="s">
        <v>722</v>
      </c>
      <c r="C9" s="155" t="s">
        <v>701</v>
      </c>
      <c r="D9" s="170" t="s">
        <v>723</v>
      </c>
      <c r="E9" s="156" t="s">
        <v>666</v>
      </c>
      <c r="F9" s="171" t="s">
        <v>724</v>
      </c>
      <c r="G9" s="171" t="s">
        <v>725</v>
      </c>
      <c r="H9" s="155" t="s">
        <v>726</v>
      </c>
      <c r="I9" s="155" t="s">
        <v>727</v>
      </c>
      <c r="J9" s="158" t="n">
        <v>5</v>
      </c>
      <c r="K9" s="158" t="n">
        <v>5</v>
      </c>
      <c r="L9" s="159" t="n">
        <f aca="false">J9*K9</f>
        <v>25</v>
      </c>
      <c r="M9" s="155" t="s">
        <v>728</v>
      </c>
      <c r="N9" s="160" t="s">
        <v>361</v>
      </c>
      <c r="O9" s="77" t="n">
        <f aca="false">IF(N9="very good", 0.2, IF(N9="good", 0.4, IF(N9="Satisfactory", 0.6, IF(N9="weak", 0.8, IF(N9="non existent", 1)))))</f>
        <v>0.6</v>
      </c>
      <c r="P9" s="159" t="n">
        <f aca="false">L9*O9</f>
        <v>15</v>
      </c>
      <c r="Q9" s="161" t="str">
        <f aca="false">IF(P9&lt;=4,"Acceptable ",IF(P9&lt;=14,"Moderalety Acceptable","Unacceptable"))</f>
        <v>Unacceptable</v>
      </c>
      <c r="R9" s="161" t="str">
        <f aca="false">IF(P9&lt;=4,"Low Risk",IF(P9&lt;=14,"Medium Risk","High Risk"))</f>
        <v>High Risk</v>
      </c>
      <c r="S9" s="161" t="str">
        <f aca="false">IF(R9="High Risk","Treatment",IF(R9="Medium Risk","Treatment","Tolerate"))</f>
        <v>Treatment</v>
      </c>
      <c r="T9" s="167" t="s">
        <v>58</v>
      </c>
      <c r="U9" s="169" t="s">
        <v>729</v>
      </c>
      <c r="V9" s="167" t="s">
        <v>730</v>
      </c>
      <c r="W9" s="155" t="s">
        <v>731</v>
      </c>
      <c r="X9" s="155"/>
    </row>
    <row r="10" customFormat="false" ht="77.6" hidden="false" customHeight="false" outlineLevel="0" collapsed="false">
      <c r="A10" s="71" t="s">
        <v>732</v>
      </c>
      <c r="B10" s="156" t="s">
        <v>733</v>
      </c>
      <c r="C10" s="155" t="s">
        <v>701</v>
      </c>
      <c r="D10" s="155" t="s">
        <v>734</v>
      </c>
      <c r="E10" s="156" t="s">
        <v>666</v>
      </c>
      <c r="F10" s="71" t="s">
        <v>735</v>
      </c>
      <c r="G10" s="165" t="s">
        <v>736</v>
      </c>
      <c r="H10" s="155" t="s">
        <v>737</v>
      </c>
      <c r="I10" s="155" t="s">
        <v>738</v>
      </c>
      <c r="J10" s="158" t="n">
        <v>3</v>
      </c>
      <c r="K10" s="158" t="n">
        <v>3</v>
      </c>
      <c r="L10" s="159" t="n">
        <f aca="false">J10*K10</f>
        <v>9</v>
      </c>
      <c r="M10" s="155" t="s">
        <v>739</v>
      </c>
      <c r="N10" s="160" t="s">
        <v>50</v>
      </c>
      <c r="O10" s="77" t="n">
        <f aca="false">IF(N10="very good", 0.2, IF(N10="good", 0.4, IF(N10="Satisfactory", 0.6, IF(N10="weak", 0.8, IF(N10="non existent", 1)))))</f>
        <v>0.4</v>
      </c>
      <c r="P10" s="159" t="n">
        <f aca="false">L10*O10</f>
        <v>3.6</v>
      </c>
      <c r="Q10" s="161" t="str">
        <f aca="false">IF(P10&lt;=4,"Acceptable ",IF(P10&lt;=14,"Moderalety Acceptable","Unacceptable"))</f>
        <v>Acceptable </v>
      </c>
      <c r="R10" s="161" t="str">
        <f aca="false">IF(P10&lt;=4,"Low Risk",IF(P10&lt;=14,"Medium Risk","High Risk"))</f>
        <v>Low Risk</v>
      </c>
      <c r="S10" s="161" t="str">
        <f aca="false">IF(R10="High Risk","Treatment",IF(R10="Medium Risk","Treatment","Tolerate"))</f>
        <v>Tolerate</v>
      </c>
      <c r="T10" s="167" t="s">
        <v>58</v>
      </c>
      <c r="U10" s="169" t="s">
        <v>740</v>
      </c>
      <c r="V10" s="167" t="s">
        <v>741</v>
      </c>
      <c r="W10" s="172" t="n">
        <v>44926</v>
      </c>
      <c r="X10" s="155"/>
    </row>
    <row r="11" customFormat="false" ht="179.1" hidden="false" customHeight="false" outlineLevel="0" collapsed="false">
      <c r="A11" s="71" t="s">
        <v>742</v>
      </c>
      <c r="B11" s="173" t="s">
        <v>743</v>
      </c>
      <c r="C11" s="155" t="s">
        <v>744</v>
      </c>
      <c r="D11" s="155" t="s">
        <v>745</v>
      </c>
      <c r="E11" s="156" t="s">
        <v>666</v>
      </c>
      <c r="F11" s="71" t="s">
        <v>746</v>
      </c>
      <c r="G11" s="155" t="s">
        <v>747</v>
      </c>
      <c r="H11" s="155" t="s">
        <v>748</v>
      </c>
      <c r="I11" s="155" t="s">
        <v>749</v>
      </c>
      <c r="J11" s="158" t="n">
        <v>3</v>
      </c>
      <c r="K11" s="158" t="n">
        <v>3</v>
      </c>
      <c r="L11" s="159" t="n">
        <f aca="false">J11*K11</f>
        <v>9</v>
      </c>
      <c r="M11" s="155" t="s">
        <v>750</v>
      </c>
      <c r="N11" s="160" t="s">
        <v>361</v>
      </c>
      <c r="O11" s="77" t="n">
        <f aca="false">IF(N11="very good", 0.2, IF(N11="good", 0.4, IF(N11="Satisfactory", 0.6, IF(N11="weak", 0.8, IF(N11="non existent", 1)))))</f>
        <v>0.6</v>
      </c>
      <c r="P11" s="159" t="n">
        <f aca="false">L11*O11</f>
        <v>5.4</v>
      </c>
      <c r="Q11" s="161" t="str">
        <f aca="false">IF(P11&lt;=4,"Acceptable ",IF(P11&lt;=14,"Moderalety Acceptable","Unacceptable"))</f>
        <v>Moderalety Acceptable</v>
      </c>
      <c r="R11" s="161" t="str">
        <f aca="false">IF(P11&lt;=4,"Low Risk",IF(P11&lt;=14,"Medium Risk","High Risk"))</f>
        <v>Medium Risk</v>
      </c>
      <c r="S11" s="161" t="str">
        <f aca="false">IF(R11="High Risk","Treatment",IF(R11="Medium Risk","Treatment","Tolerate"))</f>
        <v>Treatment</v>
      </c>
      <c r="T11" s="174" t="s">
        <v>751</v>
      </c>
      <c r="U11" s="165" t="s">
        <v>752</v>
      </c>
      <c r="V11" s="167" t="s">
        <v>753</v>
      </c>
      <c r="W11" s="155" t="s">
        <v>104</v>
      </c>
      <c r="X11" s="155"/>
    </row>
    <row r="12" customFormat="false" ht="131.3" hidden="false" customHeight="false" outlineLevel="0" collapsed="false">
      <c r="A12" s="71" t="s">
        <v>742</v>
      </c>
      <c r="B12" s="173" t="s">
        <v>754</v>
      </c>
      <c r="C12" s="155" t="s">
        <v>755</v>
      </c>
      <c r="D12" s="155" t="s">
        <v>756</v>
      </c>
      <c r="E12" s="156" t="s">
        <v>666</v>
      </c>
      <c r="F12" s="73" t="s">
        <v>757</v>
      </c>
      <c r="G12" s="155" t="s">
        <v>758</v>
      </c>
      <c r="H12" s="155" t="s">
        <v>759</v>
      </c>
      <c r="I12" s="155" t="s">
        <v>760</v>
      </c>
      <c r="J12" s="158" t="n">
        <v>4</v>
      </c>
      <c r="K12" s="158" t="n">
        <v>4</v>
      </c>
      <c r="L12" s="159" t="n">
        <f aca="false">J12*K12</f>
        <v>16</v>
      </c>
      <c r="M12" s="155" t="s">
        <v>761</v>
      </c>
      <c r="N12" s="160" t="s">
        <v>361</v>
      </c>
      <c r="O12" s="77" t="n">
        <f aca="false">IF(N12="very good", 0.2, IF(N12="good", 0.4, IF(N12="Satisfactory", 0.6, IF(N12="weak", 0.8, IF(N12="non existent", 1)))))</f>
        <v>0.6</v>
      </c>
      <c r="P12" s="159" t="n">
        <f aca="false">L12*O12</f>
        <v>9.6</v>
      </c>
      <c r="Q12" s="161" t="str">
        <f aca="false">IF(P12&lt;=4,"Acceptable ",IF(P12&lt;=14,"Moderalety Acceptable","Unacceptable"))</f>
        <v>Moderalety Acceptable</v>
      </c>
      <c r="R12" s="161" t="str">
        <f aca="false">IF(P12&lt;=4,"Low Risk",IF(P12&lt;=14,"Medium Risk","High Risk"))</f>
        <v>Medium Risk</v>
      </c>
      <c r="S12" s="161" t="str">
        <f aca="false">IF(R12="High Risk","Treatment",IF(R12="Medium Risk","Treatment","Tolerate"))</f>
        <v>Treatment</v>
      </c>
      <c r="T12" s="174" t="s">
        <v>751</v>
      </c>
      <c r="U12" s="169" t="s">
        <v>762</v>
      </c>
      <c r="V12" s="175" t="s">
        <v>763</v>
      </c>
      <c r="W12" s="155" t="s">
        <v>104</v>
      </c>
      <c r="X12" s="155"/>
    </row>
    <row r="13" customFormat="false" ht="179.1" hidden="false" customHeight="false" outlineLevel="0" collapsed="false">
      <c r="A13" s="71" t="s">
        <v>732</v>
      </c>
      <c r="B13" s="173" t="s">
        <v>764</v>
      </c>
      <c r="C13" s="176" t="s">
        <v>182</v>
      </c>
      <c r="D13" s="155" t="s">
        <v>765</v>
      </c>
      <c r="E13" s="156" t="s">
        <v>666</v>
      </c>
      <c r="F13" s="71" t="s">
        <v>766</v>
      </c>
      <c r="G13" s="155" t="s">
        <v>767</v>
      </c>
      <c r="H13" s="155" t="s">
        <v>768</v>
      </c>
      <c r="I13" s="155" t="s">
        <v>769</v>
      </c>
      <c r="J13" s="158" t="n">
        <v>3</v>
      </c>
      <c r="K13" s="158" t="n">
        <v>4</v>
      </c>
      <c r="L13" s="159" t="n">
        <f aca="false">J13*K13</f>
        <v>12</v>
      </c>
      <c r="M13" s="155" t="s">
        <v>770</v>
      </c>
      <c r="N13" s="160" t="s">
        <v>361</v>
      </c>
      <c r="O13" s="77" t="n">
        <f aca="false">IF(N13="very good", 0.2, IF(N13="good", 0.4, IF(N13="Satisfactory", 0.6, IF(N13="weak", 0.8, IF(N13="non existent", 1)))))</f>
        <v>0.6</v>
      </c>
      <c r="P13" s="159" t="n">
        <f aca="false">L13*O13</f>
        <v>7.2</v>
      </c>
      <c r="Q13" s="177" t="str">
        <f aca="false">IF(P13&lt;=4,"Acceptable ",IF(P13&lt;=14,"Moderalety Acceptable","Unacceptable"))</f>
        <v>Moderalety Acceptable</v>
      </c>
      <c r="R13" s="177"/>
      <c r="S13" s="177" t="str">
        <f aca="false">IF(R13="High Risk","Treatment",IF(R13="Medium Risk","Treatment","Tolerate"))</f>
        <v>Tolerate</v>
      </c>
      <c r="T13" s="71" t="s">
        <v>771</v>
      </c>
      <c r="U13" s="163" t="s">
        <v>772</v>
      </c>
      <c r="V13" s="71" t="s">
        <v>773</v>
      </c>
      <c r="W13" s="155" t="s">
        <v>180</v>
      </c>
      <c r="X13" s="155"/>
    </row>
    <row r="14" customFormat="false" ht="280.55" hidden="false" customHeight="false" outlineLevel="0" collapsed="false">
      <c r="A14" s="71" t="s">
        <v>732</v>
      </c>
      <c r="B14" s="173" t="s">
        <v>774</v>
      </c>
      <c r="C14" s="176" t="s">
        <v>182</v>
      </c>
      <c r="D14" s="155" t="s">
        <v>775</v>
      </c>
      <c r="E14" s="156" t="s">
        <v>666</v>
      </c>
      <c r="F14" s="71" t="s">
        <v>776</v>
      </c>
      <c r="G14" s="155" t="s">
        <v>777</v>
      </c>
      <c r="H14" s="155" t="s">
        <v>778</v>
      </c>
      <c r="I14" s="155" t="s">
        <v>779</v>
      </c>
      <c r="J14" s="77" t="n">
        <v>3</v>
      </c>
      <c r="K14" s="77" t="n">
        <v>4</v>
      </c>
      <c r="L14" s="159" t="n">
        <f aca="false">J14*K14</f>
        <v>12</v>
      </c>
      <c r="M14" s="164" t="s">
        <v>780</v>
      </c>
      <c r="N14" s="160" t="s">
        <v>30</v>
      </c>
      <c r="O14" s="77" t="n">
        <f aca="false">IF(N14="very good", 0.2, IF(N14="good", 0.4, IF(N14="Satisfactory", 0.6, IF(N14="weak", 0.8, IF(N14="non existent", 1)))))</f>
        <v>0.6</v>
      </c>
      <c r="P14" s="159" t="n">
        <f aca="false">L14*O14</f>
        <v>7.2</v>
      </c>
      <c r="Q14" s="177" t="str">
        <f aca="false">IF(P14&lt;=4,"Acceptable ",IF(P14&lt;=14,"Moderalety Acceptable","Unacceptable"))</f>
        <v>Moderalety Acceptable</v>
      </c>
      <c r="R14" s="177" t="str">
        <f aca="false">IF(P14&lt;=4,"Low Risk",IF(P14&lt;=14,"Medium Risk","High Risk"))</f>
        <v>Medium Risk</v>
      </c>
      <c r="S14" s="177" t="str">
        <f aca="false">IF(R14="High Risk","Treatment",IF(R14="Medium Risk","Treatment","Tolerate"))</f>
        <v>Treatment</v>
      </c>
      <c r="T14" s="71" t="s">
        <v>771</v>
      </c>
      <c r="U14" s="164" t="s">
        <v>781</v>
      </c>
      <c r="V14" s="155" t="s">
        <v>782</v>
      </c>
      <c r="W14" s="164" t="s">
        <v>783</v>
      </c>
      <c r="X14" s="155"/>
    </row>
    <row r="15" customFormat="false" ht="153.7" hidden="false" customHeight="false" outlineLevel="0" collapsed="false">
      <c r="A15" s="71" t="s">
        <v>732</v>
      </c>
      <c r="B15" s="156" t="s">
        <v>784</v>
      </c>
      <c r="C15" s="176" t="s">
        <v>182</v>
      </c>
      <c r="D15" s="155" t="s">
        <v>775</v>
      </c>
      <c r="E15" s="156" t="s">
        <v>666</v>
      </c>
      <c r="F15" s="71" t="s">
        <v>785</v>
      </c>
      <c r="G15" s="163" t="s">
        <v>786</v>
      </c>
      <c r="H15" s="155" t="s">
        <v>787</v>
      </c>
      <c r="I15" s="155" t="s">
        <v>788</v>
      </c>
      <c r="J15" s="77" t="n">
        <v>3</v>
      </c>
      <c r="K15" s="77" t="n">
        <v>4</v>
      </c>
      <c r="L15" s="159" t="n">
        <f aca="false">J15*K15</f>
        <v>12</v>
      </c>
      <c r="M15" s="164" t="s">
        <v>789</v>
      </c>
      <c r="N15" s="160" t="s">
        <v>30</v>
      </c>
      <c r="O15" s="77" t="n">
        <f aca="false">IF(N15="very good", 0.2, IF(N15="good", 0.4, IF(N15="Satisfactory", 0.6, IF(N15="weak", 0.8, IF(N15="non existent", 1)))))</f>
        <v>0.6</v>
      </c>
      <c r="P15" s="159" t="n">
        <f aca="false">L15*O15</f>
        <v>7.2</v>
      </c>
      <c r="Q15" s="177" t="str">
        <f aca="false">IF(P15&lt;=4,"Acceptable ",IF(P15&lt;=14,"Moderalety Acceptable","Unacceptable"))</f>
        <v>Moderalety Acceptable</v>
      </c>
      <c r="R15" s="177" t="str">
        <f aca="false">IF(P15&lt;=4,"Low Risk",IF(P15&lt;=14,"Medium Risk","High Risk"))</f>
        <v>Medium Risk</v>
      </c>
      <c r="S15" s="177" t="str">
        <f aca="false">IF(R15="High Risk","Treatment",IF(R15="Medium Risk","Treatment","Tolerate"))</f>
        <v>Treatment</v>
      </c>
      <c r="T15" s="71" t="s">
        <v>771</v>
      </c>
      <c r="U15" s="164" t="s">
        <v>790</v>
      </c>
      <c r="V15" s="155" t="s">
        <v>782</v>
      </c>
      <c r="W15" s="164" t="s">
        <v>791</v>
      </c>
      <c r="X15" s="155"/>
    </row>
    <row r="16" customFormat="false" ht="264" hidden="false" customHeight="true" outlineLevel="0" collapsed="false">
      <c r="A16" s="71" t="s">
        <v>732</v>
      </c>
      <c r="B16" s="156" t="s">
        <v>792</v>
      </c>
      <c r="C16" s="176" t="s">
        <v>182</v>
      </c>
      <c r="D16" s="71" t="s">
        <v>793</v>
      </c>
      <c r="E16" s="156" t="s">
        <v>666</v>
      </c>
      <c r="F16" s="71" t="s">
        <v>794</v>
      </c>
      <c r="G16" s="165" t="s">
        <v>795</v>
      </c>
      <c r="H16" s="71" t="s">
        <v>796</v>
      </c>
      <c r="I16" s="71" t="s">
        <v>788</v>
      </c>
      <c r="J16" s="178" t="n">
        <v>3</v>
      </c>
      <c r="K16" s="178" t="n">
        <v>4</v>
      </c>
      <c r="L16" s="159" t="n">
        <f aca="false">J16*K16</f>
        <v>12</v>
      </c>
      <c r="M16" s="179" t="s">
        <v>797</v>
      </c>
      <c r="N16" s="160" t="s">
        <v>30</v>
      </c>
      <c r="O16" s="77" t="n">
        <f aca="false">IF(N16="very good", 0.2, IF(N16="good", 0.4, IF(N16="Satisfactory", 0.6, IF(N16="weak", 0.8, IF(N16="non existent", 1)))))</f>
        <v>0.6</v>
      </c>
      <c r="P16" s="159" t="n">
        <f aca="false">L16*O16</f>
        <v>7.2</v>
      </c>
      <c r="Q16" s="177" t="str">
        <f aca="false">IF(P16&lt;=4,"Acceptable ",IF(P16&lt;=14,"Moderalety Acceptable","Unacceptable"))</f>
        <v>Moderalety Acceptable</v>
      </c>
      <c r="R16" s="177" t="str">
        <f aca="false">IF(P16&lt;=4,"Low Risk",IF(P16&lt;=14,"Medium Risk","High Risk"))</f>
        <v>Medium Risk</v>
      </c>
      <c r="S16" s="177" t="str">
        <f aca="false">IF(R16="High Risk","Treatment",IF(R16="Medium Risk","Treatment","Tolerate"))</f>
        <v>Treatment</v>
      </c>
      <c r="T16" s="71" t="s">
        <v>771</v>
      </c>
      <c r="U16" s="155" t="s">
        <v>798</v>
      </c>
      <c r="V16" s="155" t="s">
        <v>799</v>
      </c>
      <c r="W16" s="179" t="s">
        <v>104</v>
      </c>
      <c r="X16" s="155"/>
    </row>
    <row r="17" customFormat="false" ht="229.85" hidden="false" customHeight="false" outlineLevel="0" collapsed="false">
      <c r="A17" s="71" t="s">
        <v>800</v>
      </c>
      <c r="B17" s="156" t="s">
        <v>801</v>
      </c>
      <c r="C17" s="164" t="s">
        <v>802</v>
      </c>
      <c r="D17" s="155" t="s">
        <v>803</v>
      </c>
      <c r="E17" s="156" t="s">
        <v>666</v>
      </c>
      <c r="F17" s="71" t="s">
        <v>804</v>
      </c>
      <c r="G17" s="155" t="s">
        <v>805</v>
      </c>
      <c r="H17" s="155" t="s">
        <v>806</v>
      </c>
      <c r="I17" s="155" t="s">
        <v>807</v>
      </c>
      <c r="J17" s="158" t="n">
        <v>4</v>
      </c>
      <c r="K17" s="158" t="n">
        <v>5</v>
      </c>
      <c r="L17" s="159" t="n">
        <f aca="false">J17*K17</f>
        <v>20</v>
      </c>
      <c r="M17" s="155" t="s">
        <v>808</v>
      </c>
      <c r="N17" s="160" t="s">
        <v>361</v>
      </c>
      <c r="O17" s="77" t="n">
        <f aca="false">IF(N17="very good", 0.2, IF(N17="good", 0.4, IF(N17="Satisfactory", 0.6, IF(N17="weak", 0.8, IF(N17="non existent", 1)))))</f>
        <v>0.6</v>
      </c>
      <c r="P17" s="159" t="n">
        <f aca="false">L17*O17</f>
        <v>12</v>
      </c>
      <c r="Q17" s="161" t="str">
        <f aca="false">IF(P17&lt;=4,"Acceptable ",IF(P17&lt;=14,"Moderalety Acceptable","Unacceptable"))</f>
        <v>Moderalety Acceptable</v>
      </c>
      <c r="R17" s="161" t="str">
        <f aca="false">IF(P17&lt;=4,"Low Risk",IF(P17&lt;=14,"Medium Risk","High Risk"))</f>
        <v>Medium Risk</v>
      </c>
      <c r="S17" s="161" t="str">
        <f aca="false">IF(R17="High Risk","Treatment",IF(R17="Medium Risk","Treatment","Tolerate"))</f>
        <v>Treatment</v>
      </c>
      <c r="T17" s="155" t="s">
        <v>809</v>
      </c>
      <c r="U17" s="163" t="s">
        <v>810</v>
      </c>
      <c r="V17" s="155" t="s">
        <v>811</v>
      </c>
      <c r="W17" s="163" t="s">
        <v>812</v>
      </c>
      <c r="X17" s="155"/>
    </row>
    <row r="18" customFormat="false" ht="229.85" hidden="false" customHeight="false" outlineLevel="0" collapsed="false">
      <c r="A18" s="71" t="s">
        <v>800</v>
      </c>
      <c r="B18" s="156" t="s">
        <v>813</v>
      </c>
      <c r="C18" s="180" t="s">
        <v>802</v>
      </c>
      <c r="D18" s="181" t="s">
        <v>814</v>
      </c>
      <c r="E18" s="156" t="s">
        <v>666</v>
      </c>
      <c r="F18" s="182" t="s">
        <v>815</v>
      </c>
      <c r="G18" s="155" t="s">
        <v>816</v>
      </c>
      <c r="H18" s="155" t="s">
        <v>817</v>
      </c>
      <c r="I18" s="155" t="s">
        <v>818</v>
      </c>
      <c r="J18" s="158" t="n">
        <v>3</v>
      </c>
      <c r="K18" s="158" t="n">
        <v>4</v>
      </c>
      <c r="L18" s="159" t="n">
        <f aca="false">J18*K18</f>
        <v>12</v>
      </c>
      <c r="M18" s="155" t="s">
        <v>819</v>
      </c>
      <c r="N18" s="160" t="s">
        <v>50</v>
      </c>
      <c r="O18" s="77" t="n">
        <f aca="false">IF(N18="very good", 0.2, IF(N18="good", 0.4, IF(N18="Satisfactory", 0.6, IF(N18="weak", 0.8, IF(N18="non existent", 1)))))</f>
        <v>0.4</v>
      </c>
      <c r="P18" s="159" t="n">
        <f aca="false">L18*O18</f>
        <v>4.8</v>
      </c>
      <c r="Q18" s="161" t="str">
        <f aca="false">IF(P18&lt;=4,"Acceptable ",IF(P18&lt;=14,"Moderalety Acceptable","Unacceptable"))</f>
        <v>Moderalety Acceptable</v>
      </c>
      <c r="R18" s="161" t="str">
        <f aca="false">IF(P18&lt;=4,"Low Risk",IF(P18&lt;=14,"Medium Risk","High Risk"))</f>
        <v>Medium Risk</v>
      </c>
      <c r="S18" s="161" t="str">
        <f aca="false">IF(R18="High Risk","Treatment",IF(R18="Medium Risk","Treatment","Tolerate"))</f>
        <v>Treatment</v>
      </c>
      <c r="T18" s="155" t="s">
        <v>820</v>
      </c>
      <c r="U18" s="163" t="s">
        <v>821</v>
      </c>
      <c r="V18" s="155" t="s">
        <v>822</v>
      </c>
      <c r="W18" s="163" t="s">
        <v>823</v>
      </c>
      <c r="X18" s="155"/>
    </row>
    <row r="19" customFormat="false" ht="153.7" hidden="false" customHeight="false" outlineLevel="0" collapsed="false">
      <c r="A19" s="71" t="s">
        <v>800</v>
      </c>
      <c r="B19" s="156" t="s">
        <v>824</v>
      </c>
      <c r="C19" s="180" t="s">
        <v>802</v>
      </c>
      <c r="D19" s="183" t="s">
        <v>825</v>
      </c>
      <c r="E19" s="156" t="s">
        <v>666</v>
      </c>
      <c r="F19" s="182" t="s">
        <v>826</v>
      </c>
      <c r="G19" s="163" t="s">
        <v>827</v>
      </c>
      <c r="H19" s="163" t="s">
        <v>828</v>
      </c>
      <c r="I19" s="155" t="s">
        <v>829</v>
      </c>
      <c r="J19" s="158" t="n">
        <v>4</v>
      </c>
      <c r="K19" s="158" t="n">
        <v>4</v>
      </c>
      <c r="L19" s="159" t="n">
        <v>16</v>
      </c>
      <c r="M19" s="155" t="s">
        <v>830</v>
      </c>
      <c r="N19" s="160" t="s">
        <v>831</v>
      </c>
      <c r="O19" s="77" t="n">
        <v>0.2</v>
      </c>
      <c r="P19" s="159" t="n">
        <v>3.2</v>
      </c>
      <c r="Q19" s="161" t="s">
        <v>832</v>
      </c>
      <c r="R19" s="161" t="s">
        <v>833</v>
      </c>
      <c r="S19" s="161" t="s">
        <v>834</v>
      </c>
      <c r="T19" s="155" t="s">
        <v>820</v>
      </c>
      <c r="U19" s="163" t="s">
        <v>835</v>
      </c>
      <c r="V19" s="155" t="s">
        <v>836</v>
      </c>
      <c r="W19" s="163" t="s">
        <v>837</v>
      </c>
      <c r="X19" s="155"/>
    </row>
    <row r="20" customFormat="false" ht="128.35" hidden="false" customHeight="false" outlineLevel="0" collapsed="false">
      <c r="A20" s="71" t="s">
        <v>800</v>
      </c>
      <c r="B20" s="156" t="s">
        <v>838</v>
      </c>
      <c r="C20" s="180" t="s">
        <v>839</v>
      </c>
      <c r="D20" s="183" t="s">
        <v>825</v>
      </c>
      <c r="E20" s="156" t="s">
        <v>666</v>
      </c>
      <c r="F20" s="71" t="s">
        <v>840</v>
      </c>
      <c r="G20" s="155" t="s">
        <v>841</v>
      </c>
      <c r="H20" s="155" t="s">
        <v>842</v>
      </c>
      <c r="I20" s="155" t="s">
        <v>843</v>
      </c>
      <c r="J20" s="158" t="n">
        <v>5</v>
      </c>
      <c r="K20" s="158" t="n">
        <v>3</v>
      </c>
      <c r="L20" s="159" t="n">
        <v>15</v>
      </c>
      <c r="M20" s="155" t="s">
        <v>844</v>
      </c>
      <c r="N20" s="160" t="s">
        <v>831</v>
      </c>
      <c r="O20" s="77" t="n">
        <v>0.2</v>
      </c>
      <c r="P20" s="159" t="n">
        <v>3</v>
      </c>
      <c r="Q20" s="161" t="s">
        <v>832</v>
      </c>
      <c r="R20" s="161" t="s">
        <v>833</v>
      </c>
      <c r="S20" s="161" t="s">
        <v>834</v>
      </c>
      <c r="T20" s="167" t="s">
        <v>820</v>
      </c>
      <c r="U20" s="167" t="s">
        <v>845</v>
      </c>
      <c r="V20" s="167" t="s">
        <v>846</v>
      </c>
      <c r="W20" s="179" t="s">
        <v>180</v>
      </c>
      <c r="X20" s="155"/>
    </row>
    <row r="21" customFormat="false" ht="179.1" hidden="false" customHeight="false" outlineLevel="0" collapsed="false">
      <c r="A21" s="71" t="s">
        <v>800</v>
      </c>
      <c r="B21" s="156" t="s">
        <v>847</v>
      </c>
      <c r="C21" s="184" t="s">
        <v>802</v>
      </c>
      <c r="D21" s="183" t="s">
        <v>825</v>
      </c>
      <c r="E21" s="156" t="s">
        <v>666</v>
      </c>
      <c r="F21" s="73" t="s">
        <v>848</v>
      </c>
      <c r="G21" s="155" t="s">
        <v>849</v>
      </c>
      <c r="H21" s="155" t="s">
        <v>850</v>
      </c>
      <c r="I21" s="155" t="s">
        <v>851</v>
      </c>
      <c r="J21" s="158" t="n">
        <v>5</v>
      </c>
      <c r="K21" s="158" t="n">
        <v>5</v>
      </c>
      <c r="L21" s="185" t="n">
        <v>25</v>
      </c>
      <c r="M21" s="155" t="s">
        <v>852</v>
      </c>
      <c r="N21" s="160" t="s">
        <v>718</v>
      </c>
      <c r="O21" s="77" t="n">
        <v>0.4</v>
      </c>
      <c r="P21" s="159" t="n">
        <v>10</v>
      </c>
      <c r="Q21" s="161" t="s">
        <v>853</v>
      </c>
      <c r="R21" s="161" t="s">
        <v>854</v>
      </c>
      <c r="S21" s="161" t="s">
        <v>855</v>
      </c>
      <c r="T21" s="167" t="s">
        <v>820</v>
      </c>
      <c r="U21" s="167" t="s">
        <v>856</v>
      </c>
      <c r="V21" s="167" t="s">
        <v>857</v>
      </c>
      <c r="W21" s="179" t="s">
        <v>180</v>
      </c>
      <c r="X21" s="155"/>
    </row>
    <row r="22" customFormat="false" ht="280.55" hidden="false" customHeight="false" outlineLevel="0" collapsed="false">
      <c r="A22" s="71" t="s">
        <v>800</v>
      </c>
      <c r="B22" s="156" t="s">
        <v>858</v>
      </c>
      <c r="C22" s="184" t="s">
        <v>839</v>
      </c>
      <c r="D22" s="183" t="s">
        <v>825</v>
      </c>
      <c r="E22" s="156" t="s">
        <v>666</v>
      </c>
      <c r="F22" s="182" t="s">
        <v>859</v>
      </c>
      <c r="G22" s="163" t="s">
        <v>860</v>
      </c>
      <c r="H22" s="155" t="s">
        <v>861</v>
      </c>
      <c r="I22" s="155" t="s">
        <v>862</v>
      </c>
      <c r="J22" s="158" t="n">
        <v>5</v>
      </c>
      <c r="K22" s="158" t="n">
        <v>1</v>
      </c>
      <c r="L22" s="185" t="n">
        <v>5</v>
      </c>
      <c r="M22" s="155" t="s">
        <v>863</v>
      </c>
      <c r="N22" s="160" t="s">
        <v>831</v>
      </c>
      <c r="O22" s="77" t="n">
        <v>0.2</v>
      </c>
      <c r="P22" s="159" t="n">
        <v>1</v>
      </c>
      <c r="Q22" s="161" t="s">
        <v>832</v>
      </c>
      <c r="R22" s="161" t="s">
        <v>833</v>
      </c>
      <c r="S22" s="161" t="s">
        <v>834</v>
      </c>
      <c r="T22" s="167" t="s">
        <v>820</v>
      </c>
      <c r="U22" s="169" t="s">
        <v>864</v>
      </c>
      <c r="V22" s="167" t="s">
        <v>865</v>
      </c>
      <c r="W22" s="163" t="s">
        <v>180</v>
      </c>
      <c r="X22" s="155"/>
    </row>
    <row r="23" customFormat="false" ht="179.1" hidden="false" customHeight="false" outlineLevel="0" collapsed="false">
      <c r="A23" s="164" t="s">
        <v>866</v>
      </c>
      <c r="B23" s="186" t="s">
        <v>867</v>
      </c>
      <c r="C23" s="164" t="s">
        <v>868</v>
      </c>
      <c r="D23" s="164" t="s">
        <v>869</v>
      </c>
      <c r="E23" s="186" t="s">
        <v>666</v>
      </c>
      <c r="F23" s="187" t="s">
        <v>870</v>
      </c>
      <c r="G23" s="176" t="s">
        <v>871</v>
      </c>
      <c r="H23" s="164" t="s">
        <v>872</v>
      </c>
      <c r="I23" s="188" t="s">
        <v>873</v>
      </c>
      <c r="J23" s="74" t="n">
        <v>4</v>
      </c>
      <c r="K23" s="74" t="n">
        <v>4</v>
      </c>
      <c r="L23" s="75" t="n">
        <v>16</v>
      </c>
      <c r="M23" s="189" t="s">
        <v>874</v>
      </c>
      <c r="N23" s="76" t="s">
        <v>236</v>
      </c>
      <c r="O23" s="77" t="n">
        <f aca="false">IF(N23="very good", 0.2, IF(N23="good", 0.4, IF(N23="Satisfactory", 0.6, IF(N23="weak", 0.8, IF(N23="non existent", 1)))))</f>
        <v>0.8</v>
      </c>
      <c r="P23" s="74" t="n">
        <v>16</v>
      </c>
      <c r="Q23" s="78" t="s">
        <v>875</v>
      </c>
      <c r="R23" s="78" t="s">
        <v>876</v>
      </c>
      <c r="S23" s="78" t="str">
        <f aca="false">IF(R23="High Risk","Treatment",IF(R23="Medium Risk","Treatment","Tolerate"))</f>
        <v>Treatment</v>
      </c>
      <c r="T23" s="190" t="s">
        <v>877</v>
      </c>
      <c r="U23" s="188" t="s">
        <v>878</v>
      </c>
      <c r="V23" s="191" t="s">
        <v>879</v>
      </c>
      <c r="W23" s="192" t="s">
        <v>180</v>
      </c>
      <c r="X23" s="155"/>
    </row>
    <row r="24" customFormat="false" ht="305.95" hidden="false" customHeight="false" outlineLevel="0" collapsed="false">
      <c r="A24" s="164" t="s">
        <v>866</v>
      </c>
      <c r="B24" s="193" t="s">
        <v>880</v>
      </c>
      <c r="C24" s="164" t="s">
        <v>868</v>
      </c>
      <c r="D24" s="164" t="s">
        <v>881</v>
      </c>
      <c r="E24" s="186" t="s">
        <v>666</v>
      </c>
      <c r="F24" s="157" t="s">
        <v>882</v>
      </c>
      <c r="G24" s="164" t="s">
        <v>883</v>
      </c>
      <c r="H24" s="164" t="s">
        <v>884</v>
      </c>
      <c r="I24" s="164" t="s">
        <v>885</v>
      </c>
      <c r="J24" s="74" t="n">
        <v>4</v>
      </c>
      <c r="K24" s="74" t="n">
        <v>4</v>
      </c>
      <c r="L24" s="75" t="n">
        <f aca="false">J24*K24</f>
        <v>16</v>
      </c>
      <c r="M24" s="164" t="s">
        <v>886</v>
      </c>
      <c r="N24" s="76" t="s">
        <v>361</v>
      </c>
      <c r="O24" s="77" t="n">
        <f aca="false">IF(N24="very good", 0.2, IF(N24="good", 0.4, IF(N24="Satisfactory", 0.6, IF(N24="weak", 0.8, IF(N24="non existent", 1)))))</f>
        <v>0.6</v>
      </c>
      <c r="P24" s="74" t="n">
        <f aca="false">L24*O24</f>
        <v>9.6</v>
      </c>
      <c r="Q24" s="78" t="str">
        <f aca="false">IF(P24&lt;=4,"Acceptable ",IF(P24&lt;=14,"Moderalety Acceptable","Unacceptable"))</f>
        <v>Moderalety Acceptable</v>
      </c>
      <c r="R24" s="78" t="str">
        <f aca="false">IF(P24&lt;=4,"Low Risk",IF(P24&lt;=14,"Medium Risk","High Risk"))</f>
        <v>Medium Risk</v>
      </c>
      <c r="S24" s="78" t="str">
        <f aca="false">IF(R24="High Risk","Treatment",IF(R24="Medium Risk","Treatment","Tolerate"))</f>
        <v>Treatment</v>
      </c>
      <c r="T24" s="190" t="s">
        <v>877</v>
      </c>
      <c r="U24" s="188" t="s">
        <v>887</v>
      </c>
      <c r="V24" s="190" t="s">
        <v>888</v>
      </c>
      <c r="W24" s="192" t="s">
        <v>889</v>
      </c>
      <c r="X24" s="155"/>
    </row>
    <row r="25" customFormat="false" ht="293.25" hidden="false" customHeight="false" outlineLevel="0" collapsed="false">
      <c r="A25" s="164" t="s">
        <v>866</v>
      </c>
      <c r="B25" s="193" t="s">
        <v>890</v>
      </c>
      <c r="C25" s="164" t="s">
        <v>868</v>
      </c>
      <c r="D25" s="164" t="s">
        <v>891</v>
      </c>
      <c r="E25" s="186" t="s">
        <v>666</v>
      </c>
      <c r="F25" s="176" t="s">
        <v>892</v>
      </c>
      <c r="G25" s="192" t="s">
        <v>893</v>
      </c>
      <c r="H25" s="164" t="s">
        <v>894</v>
      </c>
      <c r="I25" s="164" t="s">
        <v>895</v>
      </c>
      <c r="J25" s="74" t="n">
        <v>5</v>
      </c>
      <c r="K25" s="74" t="n">
        <v>5</v>
      </c>
      <c r="L25" s="75" t="n">
        <f aca="false">J25*K25</f>
        <v>25</v>
      </c>
      <c r="M25" s="164" t="s">
        <v>896</v>
      </c>
      <c r="N25" s="76" t="s">
        <v>236</v>
      </c>
      <c r="O25" s="77" t="n">
        <f aca="false">IF(N25="very good", 0.2, IF(N25="good", 0.4, IF(N25="Satisfactory", 0.6, IF(N25="weak", 0.8, IF(N25="non existent", 1)))))</f>
        <v>0.8</v>
      </c>
      <c r="P25" s="74" t="n">
        <f aca="false">L25*O25</f>
        <v>20</v>
      </c>
      <c r="Q25" s="78" t="str">
        <f aca="false">IF(P25&lt;=4,"Acceptable ",IF(P25&lt;=14,"Moderalety Acceptable","Unacceptable"))</f>
        <v>Unacceptable</v>
      </c>
      <c r="R25" s="78" t="str">
        <f aca="false">IF(P25&lt;=4,"Low Risk",IF(P25&lt;=14,"Medium Risk","High Risk"))</f>
        <v>High Risk</v>
      </c>
      <c r="S25" s="78" t="str">
        <f aca="false">IF(R25="High Risk","Treatment",IF(R25="Medium Risk","Treatment","Tolerate"))</f>
        <v>Treatment</v>
      </c>
      <c r="T25" s="190" t="s">
        <v>877</v>
      </c>
      <c r="U25" s="188" t="s">
        <v>897</v>
      </c>
      <c r="V25" s="190" t="s">
        <v>898</v>
      </c>
      <c r="W25" s="192" t="s">
        <v>474</v>
      </c>
      <c r="X25" s="155"/>
    </row>
    <row r="26" customFormat="false" ht="369.4" hidden="false" customHeight="false" outlineLevel="0" collapsed="false">
      <c r="A26" s="164" t="s">
        <v>866</v>
      </c>
      <c r="B26" s="193" t="s">
        <v>899</v>
      </c>
      <c r="C26" s="164" t="s">
        <v>868</v>
      </c>
      <c r="D26" s="164" t="s">
        <v>900</v>
      </c>
      <c r="E26" s="186" t="s">
        <v>666</v>
      </c>
      <c r="F26" s="176" t="s">
        <v>901</v>
      </c>
      <c r="G26" s="164" t="s">
        <v>902</v>
      </c>
      <c r="H26" s="164" t="s">
        <v>903</v>
      </c>
      <c r="I26" s="164" t="s">
        <v>904</v>
      </c>
      <c r="J26" s="74" t="n">
        <v>5</v>
      </c>
      <c r="K26" s="74" t="n">
        <v>4</v>
      </c>
      <c r="L26" s="75" t="n">
        <f aca="false">J26*K26</f>
        <v>20</v>
      </c>
      <c r="M26" s="164" t="s">
        <v>905</v>
      </c>
      <c r="N26" s="76" t="s">
        <v>236</v>
      </c>
      <c r="O26" s="77" t="n">
        <f aca="false">IF(N26="very good", 0.2, IF(N26="good", 0.4, IF(N26="Satisfactory", 0.6, IF(N26="weak", 0.8, IF(N26="non existent", 1)))))</f>
        <v>0.8</v>
      </c>
      <c r="P26" s="74" t="n">
        <f aca="false">L26*O26</f>
        <v>16</v>
      </c>
      <c r="Q26" s="78" t="str">
        <f aca="false">IF(P26&lt;=4,"Acceptable ",IF(P26&lt;=14,"Moderalety Acceptable","Unacceptable"))</f>
        <v>Unacceptable</v>
      </c>
      <c r="R26" s="78" t="str">
        <f aca="false">IF(P26&lt;=4,"Low Risk",IF(P26&lt;=14,"Medium Risk","High Risk"))</f>
        <v>High Risk</v>
      </c>
      <c r="S26" s="78" t="str">
        <f aca="false">IF(R26="High Risk","Treatment",IF(R26="Medium Risk","Treatment","Tolerate"))</f>
        <v>Treatment</v>
      </c>
      <c r="T26" s="190" t="s">
        <v>877</v>
      </c>
      <c r="U26" s="188" t="s">
        <v>906</v>
      </c>
      <c r="V26" s="190" t="s">
        <v>898</v>
      </c>
      <c r="W26" s="192" t="s">
        <v>474</v>
      </c>
      <c r="X26" s="155"/>
    </row>
    <row r="27" customFormat="false" ht="331.3" hidden="false" customHeight="false" outlineLevel="0" collapsed="false">
      <c r="A27" s="164" t="s">
        <v>866</v>
      </c>
      <c r="B27" s="193" t="s">
        <v>907</v>
      </c>
      <c r="C27" s="164" t="s">
        <v>868</v>
      </c>
      <c r="D27" s="164" t="s">
        <v>908</v>
      </c>
      <c r="E27" s="186" t="s">
        <v>666</v>
      </c>
      <c r="F27" s="176" t="s">
        <v>909</v>
      </c>
      <c r="G27" s="192" t="s">
        <v>910</v>
      </c>
      <c r="H27" s="192" t="s">
        <v>911</v>
      </c>
      <c r="I27" s="164" t="s">
        <v>912</v>
      </c>
      <c r="J27" s="74" t="n">
        <v>3</v>
      </c>
      <c r="K27" s="74" t="n">
        <v>3</v>
      </c>
      <c r="L27" s="75" t="n">
        <f aca="false">J27*K27</f>
        <v>9</v>
      </c>
      <c r="M27" s="164" t="s">
        <v>913</v>
      </c>
      <c r="N27" s="76" t="s">
        <v>361</v>
      </c>
      <c r="O27" s="77" t="n">
        <f aca="false">IF(N27="very good", 0.2, IF(N27="good", 0.4, IF(N27="Satisfactory", 0.6, IF(N27="weak", 0.8, IF(N27="non existent", 1)))))</f>
        <v>0.6</v>
      </c>
      <c r="P27" s="74" t="n">
        <f aca="false">L27*O27</f>
        <v>5.4</v>
      </c>
      <c r="Q27" s="78" t="str">
        <f aca="false">IF(P27&lt;=4,"Acceptable ",IF(P27&lt;=14,"Moderalety Acceptable","Unacceptable"))</f>
        <v>Moderalety Acceptable</v>
      </c>
      <c r="R27" s="78" t="str">
        <f aca="false">IF(P27&lt;=4,"Low Risk",IF(P27&lt;=14,"Medium Risk","High Risk"))</f>
        <v>Medium Risk</v>
      </c>
      <c r="S27" s="78" t="str">
        <f aca="false">IF(R27="High Risk","Treatment",IF(R27="Medium Risk","Treatment","Tolerate"))</f>
        <v>Treatment</v>
      </c>
      <c r="T27" s="190" t="s">
        <v>877</v>
      </c>
      <c r="U27" s="192" t="s">
        <v>914</v>
      </c>
      <c r="V27" s="191" t="s">
        <v>915</v>
      </c>
      <c r="W27" s="192" t="s">
        <v>916</v>
      </c>
      <c r="X27" s="155"/>
    </row>
    <row r="28" customFormat="false" ht="131.3" hidden="false" customHeight="false" outlineLevel="0" collapsed="false">
      <c r="G28" s="154"/>
      <c r="H28" s="154"/>
      <c r="I28" s="154"/>
      <c r="J28" s="74" t="n">
        <v>3</v>
      </c>
      <c r="K28" s="74" t="n">
        <v>3</v>
      </c>
      <c r="L28" s="75" t="n">
        <f aca="false">J28*K28</f>
        <v>9</v>
      </c>
      <c r="N28" s="76" t="s">
        <v>361</v>
      </c>
      <c r="O28" s="77" t="n">
        <f aca="false">IF(N28="very good", 0.2, IF(N28="good", 0.4, IF(N28="Satisfactory", 0.6, IF(N28="weak", 0.8, IF(N28="non existent", 1)))))</f>
        <v>0.6</v>
      </c>
      <c r="P28" s="74" t="n">
        <f aca="false">L28*O28</f>
        <v>5.4</v>
      </c>
      <c r="Q28" s="78" t="str">
        <f aca="false">IF(P28&lt;=4,"Acceptable ",IF(P28&lt;=14,"Moderalety Acceptable","Unacceptable"))</f>
        <v>Moderalety Acceptable</v>
      </c>
      <c r="R28" s="78" t="str">
        <f aca="false">IF(P28&lt;=4,"Low Risk",IF(P28&lt;=14,"Medium Risk","High Risk"))</f>
        <v>Medium Risk</v>
      </c>
      <c r="S28" s="78" t="str">
        <f aca="false">IF(R28="High Risk","Treatment",IF(R28="Medium Risk","Treatment","Tolerate"))</f>
        <v>Treatment</v>
      </c>
    </row>
    <row r="29" customFormat="false" ht="131.3" hidden="false" customHeight="false" outlineLevel="0" collapsed="false">
      <c r="H29" s="154"/>
      <c r="I29" s="154"/>
      <c r="J29" s="74" t="n">
        <v>3</v>
      </c>
      <c r="K29" s="74" t="n">
        <v>3</v>
      </c>
      <c r="L29" s="75" t="n">
        <f aca="false">J29*K29</f>
        <v>9</v>
      </c>
      <c r="N29" s="76" t="s">
        <v>361</v>
      </c>
      <c r="O29" s="77" t="n">
        <f aca="false">IF(N29="very good", 0.2, IF(N29="good", 0.4, IF(N29="Satisfactory", 0.6, IF(N29="weak", 0.8, IF(N29="non existent", 1)))))</f>
        <v>0.6</v>
      </c>
      <c r="P29" s="74" t="n">
        <f aca="false">L29*O29</f>
        <v>5.4</v>
      </c>
      <c r="Q29" s="78" t="str">
        <f aca="false">IF(P29&lt;=4,"Acceptable ",IF(P29&lt;=14,"Moderalety Acceptable","Unacceptable"))</f>
        <v>Moderalety Acceptable</v>
      </c>
      <c r="R29" s="78" t="str">
        <f aca="false">IF(P29&lt;=4,"Low Risk",IF(P29&lt;=14,"Medium Risk","High Risk"))</f>
        <v>Medium Risk</v>
      </c>
      <c r="S29" s="78" t="str">
        <f aca="false">IF(R29="High Risk","Treatment",IF(R29="Medium Risk","Treatment","Tolerate"))</f>
        <v>Treatment</v>
      </c>
    </row>
    <row r="30" customFormat="false" ht="131.3" hidden="false" customHeight="false" outlineLevel="0" collapsed="false">
      <c r="H30" s="154"/>
      <c r="I30" s="154"/>
      <c r="J30" s="74" t="n">
        <v>3</v>
      </c>
      <c r="K30" s="74" t="n">
        <v>3</v>
      </c>
      <c r="L30" s="75" t="n">
        <f aca="false">J30*K30</f>
        <v>9</v>
      </c>
      <c r="N30" s="76" t="s">
        <v>361</v>
      </c>
      <c r="O30" s="77" t="n">
        <f aca="false">IF(N30="very good", 0.2, IF(N30="good", 0.4, IF(N30="Satisfactory", 0.6, IF(N30="weak", 0.8, IF(N30="non existent", 1)))))</f>
        <v>0.6</v>
      </c>
      <c r="P30" s="74" t="n">
        <f aca="false">L30*O30</f>
        <v>5.4</v>
      </c>
      <c r="Q30" s="78" t="str">
        <f aca="false">IF(P30&lt;=4,"Acceptable ",IF(P30&lt;=14,"Moderalety Acceptable","Unacceptable"))</f>
        <v>Moderalety Acceptable</v>
      </c>
      <c r="R30" s="78" t="str">
        <f aca="false">IF(P30&lt;=4,"Low Risk",IF(P30&lt;=14,"Medium Risk","High Risk"))</f>
        <v>Medium Risk</v>
      </c>
      <c r="S30" s="78" t="str">
        <f aca="false">IF(R30="High Risk","Treatment",IF(R30="Medium Risk","Treatment","Tolerate"))</f>
        <v>Treatment</v>
      </c>
    </row>
    <row r="31" customFormat="false" ht="131.3" hidden="false" customHeight="false" outlineLevel="0" collapsed="false">
      <c r="H31" s="154"/>
      <c r="I31" s="154"/>
      <c r="J31" s="74" t="n">
        <v>3</v>
      </c>
      <c r="K31" s="74" t="n">
        <v>3</v>
      </c>
      <c r="L31" s="75" t="n">
        <f aca="false">J31*K31</f>
        <v>9</v>
      </c>
      <c r="N31" s="76" t="s">
        <v>361</v>
      </c>
      <c r="O31" s="77" t="n">
        <f aca="false">IF(N31="very good", 0.2, IF(N31="good", 0.4, IF(N31="Satisfactory", 0.6, IF(N31="weak", 0.8, IF(N31="non existent", 1)))))</f>
        <v>0.6</v>
      </c>
      <c r="P31" s="74" t="n">
        <f aca="false">L31*O31</f>
        <v>5.4</v>
      </c>
      <c r="Q31" s="78" t="str">
        <f aca="false">IF(P31&lt;=4,"Acceptable ",IF(P31&lt;=14,"Moderalety Acceptable","Unacceptable"))</f>
        <v>Moderalety Acceptable</v>
      </c>
      <c r="R31" s="78" t="str">
        <f aca="false">IF(P31&lt;=4,"Low Risk",IF(P31&lt;=14,"Medium Risk","High Risk"))</f>
        <v>Medium Risk</v>
      </c>
      <c r="S31" s="78" t="str">
        <f aca="false">IF(R31="High Risk","Treatment",IF(R31="Medium Risk","Treatment","Tolerate"))</f>
        <v>Treatment</v>
      </c>
    </row>
    <row r="32" customFormat="false" ht="131.3" hidden="false" customHeight="false" outlineLevel="0" collapsed="false">
      <c r="H32" s="154"/>
      <c r="I32" s="154"/>
      <c r="J32" s="74" t="n">
        <v>3</v>
      </c>
      <c r="K32" s="74" t="n">
        <v>3</v>
      </c>
      <c r="L32" s="75" t="n">
        <f aca="false">J32*K32</f>
        <v>9</v>
      </c>
      <c r="N32" s="76" t="s">
        <v>361</v>
      </c>
      <c r="O32" s="77" t="n">
        <f aca="false">IF(N32="very good", 0.2, IF(N32="good", 0.4, IF(N32="Satisfactory", 0.6, IF(N32="weak", 0.8, IF(N32="non existent", 1)))))</f>
        <v>0.6</v>
      </c>
      <c r="P32" s="74" t="n">
        <f aca="false">L32*O32</f>
        <v>5.4</v>
      </c>
      <c r="Q32" s="78" t="str">
        <f aca="false">IF(P32&lt;=4,"Acceptable ",IF(P32&lt;=14,"Moderalety Acceptable","Unacceptable"))</f>
        <v>Moderalety Acceptable</v>
      </c>
      <c r="R32" s="78" t="str">
        <f aca="false">IF(P32&lt;=4,"Low Risk",IF(P32&lt;=14,"Medium Risk","High Risk"))</f>
        <v>Medium Risk</v>
      </c>
      <c r="S32" s="78" t="str">
        <f aca="false">IF(R32="High Risk","Treatment",IF(R32="Medium Risk","Treatment","Tolerate"))</f>
        <v>Treatment</v>
      </c>
    </row>
    <row r="33" customFormat="false" ht="131.3" hidden="false" customHeight="false" outlineLevel="0" collapsed="false">
      <c r="H33" s="154"/>
      <c r="I33" s="154"/>
      <c r="J33" s="74" t="n">
        <v>3</v>
      </c>
      <c r="K33" s="74" t="n">
        <v>3</v>
      </c>
      <c r="L33" s="75" t="n">
        <f aca="false">J33*K33</f>
        <v>9</v>
      </c>
      <c r="N33" s="76" t="s">
        <v>361</v>
      </c>
      <c r="O33" s="77" t="n">
        <f aca="false">IF(N33="very good", 0.2, IF(N33="good", 0.4, IF(N33="Satisfactory", 0.6, IF(N33="weak", 0.8, IF(N33="non existent", 1)))))</f>
        <v>0.6</v>
      </c>
      <c r="P33" s="74" t="n">
        <f aca="false">L33*O33</f>
        <v>5.4</v>
      </c>
      <c r="Q33" s="78" t="str">
        <f aca="false">IF(P33&lt;=4,"Acceptable ",IF(P33&lt;=14,"Moderalety Acceptable","Unacceptable"))</f>
        <v>Moderalety Acceptable</v>
      </c>
      <c r="R33" s="78" t="str">
        <f aca="false">IF(P33&lt;=4,"Low Risk",IF(P33&lt;=14,"Medium Risk","High Risk"))</f>
        <v>Medium Risk</v>
      </c>
      <c r="S33" s="78" t="str">
        <f aca="false">IF(R33="High Risk","Treatment",IF(R33="Medium Risk","Treatment","Tolerate"))</f>
        <v>Treatment</v>
      </c>
    </row>
    <row r="34" customFormat="false" ht="131.3" hidden="false" customHeight="false" outlineLevel="0" collapsed="false">
      <c r="H34" s="154"/>
      <c r="I34" s="154"/>
      <c r="J34" s="74" t="n">
        <v>3</v>
      </c>
      <c r="K34" s="74" t="n">
        <v>3</v>
      </c>
      <c r="L34" s="75" t="n">
        <f aca="false">J34*K34</f>
        <v>9</v>
      </c>
      <c r="N34" s="76" t="s">
        <v>361</v>
      </c>
      <c r="O34" s="77" t="n">
        <f aca="false">IF(N34="very good", 0.2, IF(N34="good", 0.4, IF(N34="Satisfactory", 0.6, IF(N34="weak", 0.8, IF(N34="non existent", 1)))))</f>
        <v>0.6</v>
      </c>
      <c r="P34" s="74" t="n">
        <f aca="false">L34*O34</f>
        <v>5.4</v>
      </c>
      <c r="Q34" s="78" t="str">
        <f aca="false">IF(P34&lt;=4,"Acceptable ",IF(P34&lt;=14,"Moderalety Acceptable","Unacceptable"))</f>
        <v>Moderalety Acceptable</v>
      </c>
      <c r="R34" s="78" t="str">
        <f aca="false">IF(P34&lt;=4,"Low Risk",IF(P34&lt;=14,"Medium Risk","High Risk"))</f>
        <v>Medium Risk</v>
      </c>
      <c r="S34" s="78" t="str">
        <f aca="false">IF(R34="High Risk","Treatment",IF(R34="Medium Risk","Treatment","Tolerate"))</f>
        <v>Treatment</v>
      </c>
    </row>
    <row r="35" customFormat="false" ht="131.3" hidden="false" customHeight="false" outlineLevel="0" collapsed="false">
      <c r="H35" s="154"/>
      <c r="I35" s="154"/>
      <c r="J35" s="74" t="n">
        <v>3</v>
      </c>
      <c r="K35" s="74" t="n">
        <v>3</v>
      </c>
      <c r="L35" s="75" t="n">
        <f aca="false">J35*K35</f>
        <v>9</v>
      </c>
      <c r="N35" s="76" t="s">
        <v>361</v>
      </c>
      <c r="O35" s="77" t="n">
        <f aca="false">IF(N35="very good", 0.2, IF(N35="good", 0.4, IF(N35="Satisfactory", 0.6, IF(N35="weak", 0.8, IF(N35="non existent", 1)))))</f>
        <v>0.6</v>
      </c>
      <c r="P35" s="74" t="n">
        <f aca="false">L35*O35</f>
        <v>5.4</v>
      </c>
      <c r="Q35" s="78" t="str">
        <f aca="false">IF(P35&lt;=4,"Acceptable ",IF(P35&lt;=14,"Moderalety Acceptable","Unacceptable"))</f>
        <v>Moderalety Acceptable</v>
      </c>
      <c r="R35" s="78" t="str">
        <f aca="false">IF(P35&lt;=4,"Low Risk",IF(P35&lt;=14,"Medium Risk","High Risk"))</f>
        <v>Medium Risk</v>
      </c>
      <c r="S35" s="78" t="str">
        <f aca="false">IF(R35="High Risk","Treatment",IF(R35="Medium Risk","Treatment","Tolerate"))</f>
        <v>Treatment</v>
      </c>
    </row>
    <row r="36" customFormat="false" ht="131.3" hidden="false" customHeight="false" outlineLevel="0" collapsed="false">
      <c r="H36" s="154"/>
      <c r="I36" s="154"/>
      <c r="J36" s="74" t="n">
        <v>3</v>
      </c>
      <c r="K36" s="74" t="n">
        <v>3</v>
      </c>
      <c r="L36" s="75" t="n">
        <f aca="false">J36*K36</f>
        <v>9</v>
      </c>
      <c r="N36" s="76" t="s">
        <v>361</v>
      </c>
      <c r="O36" s="77" t="n">
        <f aca="false">IF(N36="very good", 0.2, IF(N36="good", 0.4, IF(N36="Satisfactory", 0.6, IF(N36="weak", 0.8, IF(N36="non existent", 1)))))</f>
        <v>0.6</v>
      </c>
      <c r="P36" s="74" t="n">
        <f aca="false">L36*O36</f>
        <v>5.4</v>
      </c>
      <c r="Q36" s="78" t="str">
        <f aca="false">IF(P36&lt;=4,"Acceptable ",IF(P36&lt;=14,"Moderalety Acceptable","Unacceptable"))</f>
        <v>Moderalety Acceptable</v>
      </c>
      <c r="R36" s="78" t="str">
        <f aca="false">IF(P36&lt;=4,"Low Risk",IF(P36&lt;=14,"Medium Risk","High Risk"))</f>
        <v>Medium Risk</v>
      </c>
      <c r="S36" s="78" t="str">
        <f aca="false">IF(R36="High Risk","Treatment",IF(R36="Medium Risk","Treatment","Tolerate"))</f>
        <v>Treatment</v>
      </c>
    </row>
    <row r="37" customFormat="false" ht="131.3" hidden="false" customHeight="false" outlineLevel="0" collapsed="false">
      <c r="H37" s="154"/>
      <c r="I37" s="154"/>
      <c r="J37" s="74" t="n">
        <v>3</v>
      </c>
      <c r="K37" s="74" t="n">
        <v>3</v>
      </c>
      <c r="L37" s="75" t="n">
        <f aca="false">J37*K37</f>
        <v>9</v>
      </c>
      <c r="N37" s="76" t="s">
        <v>361</v>
      </c>
      <c r="O37" s="77" t="n">
        <f aca="false">IF(N37="very good", 0.2, IF(N37="good", 0.4, IF(N37="Satisfactory", 0.6, IF(N37="weak", 0.8, IF(N37="non existent", 1)))))</f>
        <v>0.6</v>
      </c>
      <c r="P37" s="74" t="n">
        <f aca="false">L37*O37</f>
        <v>5.4</v>
      </c>
      <c r="Q37" s="78" t="str">
        <f aca="false">IF(P37&lt;=4,"Acceptable ",IF(P37&lt;=14,"Moderalety Acceptable","Unacceptable"))</f>
        <v>Moderalety Acceptable</v>
      </c>
      <c r="R37" s="78" t="str">
        <f aca="false">IF(P37&lt;=4,"Low Risk",IF(P37&lt;=14,"Medium Risk","High Risk"))</f>
        <v>Medium Risk</v>
      </c>
      <c r="S37" s="78" t="str">
        <f aca="false">IF(R37="High Risk","Treatment",IF(R37="Medium Risk","Treatment","Tolerate"))</f>
        <v>Treatment</v>
      </c>
    </row>
    <row r="38" customFormat="false" ht="131.3" hidden="false" customHeight="false" outlineLevel="0" collapsed="false">
      <c r="H38" s="154"/>
      <c r="I38" s="154"/>
      <c r="J38" s="74" t="n">
        <v>3</v>
      </c>
      <c r="K38" s="74" t="n">
        <v>3</v>
      </c>
      <c r="L38" s="75" t="n">
        <f aca="false">J38*K38</f>
        <v>9</v>
      </c>
      <c r="N38" s="76" t="s">
        <v>361</v>
      </c>
      <c r="O38" s="77" t="n">
        <f aca="false">IF(N38="very good", 0.2, IF(N38="good", 0.4, IF(N38="Satisfactory", 0.6, IF(N38="weak", 0.8, IF(N38="non existent", 1)))))</f>
        <v>0.6</v>
      </c>
      <c r="P38" s="74" t="n">
        <f aca="false">L38*O38</f>
        <v>5.4</v>
      </c>
      <c r="Q38" s="78" t="str">
        <f aca="false">IF(P38&lt;=4,"Acceptable ",IF(P38&lt;=14,"Moderalety Acceptable","Unacceptable"))</f>
        <v>Moderalety Acceptable</v>
      </c>
      <c r="R38" s="78" t="str">
        <f aca="false">IF(P38&lt;=4,"Low Risk",IF(P38&lt;=14,"Medium Risk","High Risk"))</f>
        <v>Medium Risk</v>
      </c>
      <c r="S38" s="78" t="str">
        <f aca="false">IF(R38="High Risk","Treatment",IF(R38="Medium Risk","Treatment","Tolerate"))</f>
        <v>Treatment</v>
      </c>
    </row>
    <row r="39" customFormat="false" ht="131.3" hidden="false" customHeight="false" outlineLevel="0" collapsed="false">
      <c r="J39" s="74" t="n">
        <v>3</v>
      </c>
      <c r="K39" s="74" t="n">
        <v>3</v>
      </c>
      <c r="L39" s="75" t="n">
        <f aca="false">J39*K39</f>
        <v>9</v>
      </c>
      <c r="N39" s="76" t="s">
        <v>361</v>
      </c>
      <c r="O39" s="77" t="n">
        <f aca="false">IF(N39="very good", 0.2, IF(N39="good", 0.4, IF(N39="Satisfactory", 0.6, IF(N39="weak", 0.8, IF(N39="non existent", 1)))))</f>
        <v>0.6</v>
      </c>
      <c r="P39" s="74" t="n">
        <f aca="false">L39*O39</f>
        <v>5.4</v>
      </c>
      <c r="Q39" s="78" t="str">
        <f aca="false">IF(P39&lt;=4,"Acceptable ",IF(P39&lt;=14,"Moderalety Acceptable","Unacceptable"))</f>
        <v>Moderalety Acceptable</v>
      </c>
      <c r="R39" s="78" t="str">
        <f aca="false">IF(P39&lt;=4,"Low Risk",IF(P39&lt;=14,"Medium Risk","High Risk"))</f>
        <v>Medium Risk</v>
      </c>
      <c r="S39" s="78" t="str">
        <f aca="false">IF(R39="High Risk","Treatment",IF(R39="Medium Risk","Treatment","Tolerate"))</f>
        <v>Treatment</v>
      </c>
    </row>
    <row r="40" customFormat="false" ht="131.3" hidden="false" customHeight="false" outlineLevel="0" collapsed="false">
      <c r="J40" s="74" t="n">
        <v>3</v>
      </c>
      <c r="K40" s="74" t="n">
        <v>3</v>
      </c>
      <c r="L40" s="75" t="n">
        <f aca="false">J40*K40</f>
        <v>9</v>
      </c>
      <c r="N40" s="76" t="s">
        <v>361</v>
      </c>
      <c r="O40" s="77" t="n">
        <f aca="false">IF(N40="very good", 0.2, IF(N40="good", 0.4, IF(N40="Satisfactory", 0.6, IF(N40="weak", 0.8, IF(N40="non existent", 1)))))</f>
        <v>0.6</v>
      </c>
      <c r="P40" s="74" t="n">
        <f aca="false">L40*O40</f>
        <v>5.4</v>
      </c>
      <c r="Q40" s="78" t="str">
        <f aca="false">IF(P40&lt;=4,"Acceptable ",IF(P40&lt;=14,"Moderalety Acceptable","Unacceptable"))</f>
        <v>Moderalety Acceptable</v>
      </c>
      <c r="R40" s="78" t="str">
        <f aca="false">IF(P40&lt;=4,"Low Risk",IF(P40&lt;=14,"Medium Risk","High Risk"))</f>
        <v>Medium Risk</v>
      </c>
      <c r="S40" s="78" t="str">
        <f aca="false">IF(R40="High Risk","Treatment",IF(R40="Medium Risk","Treatment","Tolerate"))</f>
        <v>Treatment</v>
      </c>
    </row>
    <row r="41" customFormat="false" ht="131.3" hidden="false" customHeight="false" outlineLevel="0" collapsed="false">
      <c r="J41" s="74" t="n">
        <v>3</v>
      </c>
      <c r="K41" s="74" t="n">
        <v>3</v>
      </c>
      <c r="L41" s="75" t="n">
        <f aca="false">J41*K41</f>
        <v>9</v>
      </c>
      <c r="N41" s="76" t="s">
        <v>361</v>
      </c>
      <c r="O41" s="77" t="n">
        <f aca="false">IF(N41="very good", 0.2, IF(N41="good", 0.4, IF(N41="Satisfactory", 0.6, IF(N41="weak", 0.8, IF(N41="non existent", 1)))))</f>
        <v>0.6</v>
      </c>
      <c r="P41" s="74" t="n">
        <f aca="false">L41*O41</f>
        <v>5.4</v>
      </c>
      <c r="Q41" s="78" t="str">
        <f aca="false">IF(P41&lt;=4,"Acceptable ",IF(P41&lt;=14,"Moderalety Acceptable","Unacceptable"))</f>
        <v>Moderalety Acceptable</v>
      </c>
      <c r="R41" s="78" t="str">
        <f aca="false">IF(P41&lt;=4,"Low Risk",IF(P41&lt;=14,"Medium Risk","High Risk"))</f>
        <v>Medium Risk</v>
      </c>
      <c r="S41" s="78" t="str">
        <f aca="false">IF(R41="High Risk","Treatment",IF(R41="Medium Risk","Treatment","Tolerate"))</f>
        <v>Treatment</v>
      </c>
    </row>
    <row r="42" customFormat="false" ht="131.3" hidden="false" customHeight="false" outlineLevel="0" collapsed="false">
      <c r="J42" s="74" t="n">
        <v>3</v>
      </c>
      <c r="K42" s="74" t="n">
        <v>3</v>
      </c>
      <c r="L42" s="75" t="n">
        <f aca="false">J42*K42</f>
        <v>9</v>
      </c>
      <c r="N42" s="76" t="s">
        <v>361</v>
      </c>
      <c r="O42" s="77" t="n">
        <f aca="false">IF(N42="very good", 0.2, IF(N42="good", 0.4, IF(N42="Satisfactory", 0.6, IF(N42="weak", 0.8, IF(N42="non existent", 1)))))</f>
        <v>0.6</v>
      </c>
      <c r="P42" s="74" t="n">
        <f aca="false">L42*O42</f>
        <v>5.4</v>
      </c>
      <c r="Q42" s="78" t="str">
        <f aca="false">IF(P42&lt;=4,"Acceptable ",IF(P42&lt;=14,"Moderalety Acceptable","Unacceptable"))</f>
        <v>Moderalety Acceptable</v>
      </c>
      <c r="R42" s="78" t="str">
        <f aca="false">IF(P42&lt;=4,"Low Risk",IF(P42&lt;=14,"Medium Risk","High Risk"))</f>
        <v>Medium Risk</v>
      </c>
      <c r="S42" s="78" t="str">
        <f aca="false">IF(R42="High Risk","Treatment",IF(R42="Medium Risk","Treatment","Tolerate"))</f>
        <v>Treatment</v>
      </c>
    </row>
    <row r="43" customFormat="false" ht="131.3" hidden="false" customHeight="false" outlineLevel="0" collapsed="false">
      <c r="J43" s="74" t="n">
        <v>3</v>
      </c>
      <c r="K43" s="74" t="n">
        <v>3</v>
      </c>
      <c r="L43" s="75" t="n">
        <f aca="false">J43*K43</f>
        <v>9</v>
      </c>
      <c r="N43" s="76" t="s">
        <v>361</v>
      </c>
      <c r="O43" s="77" t="n">
        <f aca="false">IF(N43="very good", 0.2, IF(N43="good", 0.4, IF(N43="Satisfactory", 0.6, IF(N43="weak", 0.8, IF(N43="non existent", 1)))))</f>
        <v>0.6</v>
      </c>
      <c r="P43" s="74" t="n">
        <f aca="false">L43*O43</f>
        <v>5.4</v>
      </c>
      <c r="Q43" s="78" t="str">
        <f aca="false">IF(P43&lt;=4,"Acceptable ",IF(P43&lt;=14,"Moderalety Acceptable","Unacceptable"))</f>
        <v>Moderalety Acceptable</v>
      </c>
      <c r="R43" s="78" t="str">
        <f aca="false">IF(P43&lt;=4,"Low Risk",IF(P43&lt;=14,"Medium Risk","High Risk"))</f>
        <v>Medium Risk</v>
      </c>
      <c r="S43" s="78" t="str">
        <f aca="false">IF(R43="High Risk","Treatment",IF(R43="Medium Risk","Treatment","Tolerate"))</f>
        <v>Treatment</v>
      </c>
    </row>
    <row r="44" customFormat="false" ht="131.3" hidden="false" customHeight="false" outlineLevel="0" collapsed="false">
      <c r="J44" s="74" t="n">
        <v>3</v>
      </c>
      <c r="K44" s="74" t="n">
        <v>3</v>
      </c>
      <c r="L44" s="75" t="n">
        <f aca="false">J44*K44</f>
        <v>9</v>
      </c>
      <c r="N44" s="76" t="s">
        <v>361</v>
      </c>
      <c r="O44" s="77" t="n">
        <f aca="false">IF(N44="very good", 0.2, IF(N44="good", 0.4, IF(N44="Satisfactory", 0.6, IF(N44="weak", 0.8, IF(N44="non existent", 1)))))</f>
        <v>0.6</v>
      </c>
      <c r="P44" s="74" t="n">
        <f aca="false">L44*O44</f>
        <v>5.4</v>
      </c>
      <c r="Q44" s="78" t="str">
        <f aca="false">IF(P44&lt;=4,"Acceptable ",IF(P44&lt;=14,"Moderalety Acceptable","Unacceptable"))</f>
        <v>Moderalety Acceptable</v>
      </c>
      <c r="R44" s="78" t="str">
        <f aca="false">IF(P44&lt;=4,"Low Risk",IF(P44&lt;=14,"Medium Risk","High Risk"))</f>
        <v>Medium Risk</v>
      </c>
      <c r="S44" s="78" t="str">
        <f aca="false">IF(R44="High Risk","Treatment",IF(R44="Medium Risk","Treatment","Tolerate"))</f>
        <v>Treatment</v>
      </c>
    </row>
    <row r="45" customFormat="false" ht="131.3" hidden="false" customHeight="false" outlineLevel="0" collapsed="false">
      <c r="J45" s="74" t="n">
        <v>3</v>
      </c>
      <c r="K45" s="74" t="n">
        <v>3</v>
      </c>
      <c r="L45" s="75" t="n">
        <f aca="false">J45*K45</f>
        <v>9</v>
      </c>
      <c r="N45" s="76" t="s">
        <v>361</v>
      </c>
      <c r="O45" s="77" t="n">
        <f aca="false">IF(N45="very good", 0.2, IF(N45="good", 0.4, IF(N45="Satisfactory", 0.6, IF(N45="weak", 0.8, IF(N45="non existent", 1)))))</f>
        <v>0.6</v>
      </c>
      <c r="P45" s="74" t="n">
        <f aca="false">L45*O45</f>
        <v>5.4</v>
      </c>
      <c r="Q45" s="78" t="str">
        <f aca="false">IF(P45&lt;=4,"Acceptable ",IF(P45&lt;=14,"Moderalety Acceptable","Unacceptable"))</f>
        <v>Moderalety Acceptable</v>
      </c>
      <c r="R45" s="78" t="str">
        <f aca="false">IF(P45&lt;=4,"Low Risk",IF(P45&lt;=14,"Medium Risk","High Risk"))</f>
        <v>Medium Risk</v>
      </c>
      <c r="S45" s="78" t="str">
        <f aca="false">IF(R45="High Risk","Treatment",IF(R45="Medium Risk","Treatment","Tolerate"))</f>
        <v>Treatment</v>
      </c>
    </row>
    <row r="46" customFormat="false" ht="131.3" hidden="false" customHeight="false" outlineLevel="0" collapsed="false">
      <c r="J46" s="74" t="n">
        <v>3</v>
      </c>
      <c r="K46" s="74" t="n">
        <v>3</v>
      </c>
      <c r="L46" s="75" t="n">
        <f aca="false">J46*K46</f>
        <v>9</v>
      </c>
      <c r="N46" s="76" t="s">
        <v>361</v>
      </c>
      <c r="O46" s="77" t="n">
        <f aca="false">IF(N46="very good", 0.2, IF(N46="good", 0.4, IF(N46="Satisfactory", 0.6, IF(N46="weak", 0.8, IF(N46="non existent", 1)))))</f>
        <v>0.6</v>
      </c>
      <c r="P46" s="74" t="n">
        <f aca="false">L46*O46</f>
        <v>5.4</v>
      </c>
      <c r="Q46" s="78" t="str">
        <f aca="false">IF(P46&lt;=4,"Acceptable ",IF(P46&lt;=14,"Moderalety Acceptable","Unacceptable"))</f>
        <v>Moderalety Acceptable</v>
      </c>
      <c r="R46" s="78" t="str">
        <f aca="false">IF(P46&lt;=4,"Low Risk",IF(P46&lt;=14,"Medium Risk","High Risk"))</f>
        <v>Medium Risk</v>
      </c>
      <c r="S46" s="78" t="str">
        <f aca="false">IF(R46="High Risk","Treatment",IF(R46="Medium Risk","Treatment","Tolerate"))</f>
        <v>Treatment</v>
      </c>
    </row>
    <row r="47" customFormat="false" ht="131.3" hidden="false" customHeight="false" outlineLevel="0" collapsed="false">
      <c r="J47" s="74" t="n">
        <v>3</v>
      </c>
      <c r="K47" s="74" t="n">
        <v>3</v>
      </c>
      <c r="L47" s="75" t="n">
        <f aca="false">J47*K47</f>
        <v>9</v>
      </c>
      <c r="N47" s="76" t="s">
        <v>361</v>
      </c>
      <c r="O47" s="77" t="n">
        <f aca="false">IF(N47="very good", 0.2, IF(N47="good", 0.4, IF(N47="Satisfactory", 0.6, IF(N47="weak", 0.8, IF(N47="non existent", 1)))))</f>
        <v>0.6</v>
      </c>
      <c r="P47" s="74" t="n">
        <f aca="false">L47*O47</f>
        <v>5.4</v>
      </c>
      <c r="Q47" s="78" t="str">
        <f aca="false">IF(P47&lt;=4,"Acceptable ",IF(P47&lt;=14,"Moderalety Acceptable","Unacceptable"))</f>
        <v>Moderalety Acceptable</v>
      </c>
      <c r="R47" s="78" t="str">
        <f aca="false">IF(P47&lt;=4,"Low Risk",IF(P47&lt;=14,"Medium Risk","High Risk"))</f>
        <v>Medium Risk</v>
      </c>
      <c r="S47" s="78" t="str">
        <f aca="false">IF(R47="High Risk","Treatment",IF(R47="Medium Risk","Treatment","Tolerate"))</f>
        <v>Treatment</v>
      </c>
    </row>
    <row r="48" customFormat="false" ht="131.3" hidden="false" customHeight="false" outlineLevel="0" collapsed="false">
      <c r="J48" s="74" t="n">
        <v>3</v>
      </c>
      <c r="K48" s="74" t="n">
        <v>3</v>
      </c>
      <c r="L48" s="75" t="n">
        <f aca="false">J48*K48</f>
        <v>9</v>
      </c>
      <c r="N48" s="76" t="s">
        <v>361</v>
      </c>
      <c r="O48" s="77" t="n">
        <f aca="false">IF(N48="very good", 0.2, IF(N48="good", 0.4, IF(N48="Satisfactory", 0.6, IF(N48="weak", 0.8, IF(N48="non existent", 1)))))</f>
        <v>0.6</v>
      </c>
      <c r="P48" s="74" t="n">
        <f aca="false">L48*O48</f>
        <v>5.4</v>
      </c>
      <c r="Q48" s="78" t="str">
        <f aca="false">IF(P48&lt;=4,"Acceptable ",IF(P48&lt;=14,"Moderalety Acceptable","Unacceptable"))</f>
        <v>Moderalety Acceptable</v>
      </c>
      <c r="R48" s="78" t="str">
        <f aca="false">IF(P48&lt;=4,"Low Risk",IF(P48&lt;=14,"Medium Risk","High Risk"))</f>
        <v>Medium Risk</v>
      </c>
      <c r="S48" s="78" t="str">
        <f aca="false">IF(R48="High Risk","Treatment",IF(R48="Medium Risk","Treatment","Tolerate"))</f>
        <v>Treatment</v>
      </c>
    </row>
    <row r="49" customFormat="false" ht="131.3" hidden="false" customHeight="false" outlineLevel="0" collapsed="false">
      <c r="J49" s="74" t="n">
        <v>3</v>
      </c>
      <c r="K49" s="74" t="n">
        <v>3</v>
      </c>
      <c r="L49" s="75" t="n">
        <f aca="false">J49*K49</f>
        <v>9</v>
      </c>
      <c r="N49" s="76" t="s">
        <v>361</v>
      </c>
      <c r="O49" s="77" t="n">
        <f aca="false">IF(N49="very good", 0.2, IF(N49="good", 0.4, IF(N49="Satisfactory", 0.6, IF(N49="weak", 0.8, IF(N49="non existent", 1)))))</f>
        <v>0.6</v>
      </c>
      <c r="P49" s="74" t="n">
        <f aca="false">L49*O49</f>
        <v>5.4</v>
      </c>
      <c r="Q49" s="78" t="str">
        <f aca="false">IF(P49&lt;=4,"Acceptable ",IF(P49&lt;=14,"Moderalety Acceptable","Unacceptable"))</f>
        <v>Moderalety Acceptable</v>
      </c>
      <c r="R49" s="78" t="str">
        <f aca="false">IF(P49&lt;=4,"Low Risk",IF(P49&lt;=14,"Medium Risk","High Risk"))</f>
        <v>Medium Risk</v>
      </c>
      <c r="S49" s="78" t="str">
        <f aca="false">IF(R49="High Risk","Treatment",IF(R49="Medium Risk","Treatment","Tolerate"))</f>
        <v>Treatment</v>
      </c>
    </row>
    <row r="50" customFormat="false" ht="131.3" hidden="false" customHeight="false" outlineLevel="0" collapsed="false">
      <c r="J50" s="74" t="n">
        <v>3</v>
      </c>
      <c r="K50" s="74" t="n">
        <v>3</v>
      </c>
      <c r="L50" s="75" t="n">
        <f aca="false">J50*K50</f>
        <v>9</v>
      </c>
      <c r="N50" s="76" t="s">
        <v>361</v>
      </c>
      <c r="O50" s="77" t="n">
        <f aca="false">IF(N50="very good", 0.2, IF(N50="good", 0.4, IF(N50="Satisfactory", 0.6, IF(N50="weak", 0.8, IF(N50="non existent", 1)))))</f>
        <v>0.6</v>
      </c>
      <c r="P50" s="74" t="n">
        <f aca="false">L50*O50</f>
        <v>5.4</v>
      </c>
      <c r="Q50" s="78" t="str">
        <f aca="false">IF(P50&lt;=4,"Acceptable ",IF(P50&lt;=14,"Moderalety Acceptable","Unacceptable"))</f>
        <v>Moderalety Acceptable</v>
      </c>
      <c r="R50" s="78" t="str">
        <f aca="false">IF(P50&lt;=4,"Low Risk",IF(P50&lt;=14,"Medium Risk","High Risk"))</f>
        <v>Medium Risk</v>
      </c>
      <c r="S50" s="78" t="str">
        <f aca="false">IF(R50="High Risk","Treatment",IF(R50="Medium Risk","Treatment","Tolerate"))</f>
        <v>Treatment</v>
      </c>
    </row>
    <row r="51" customFormat="false" ht="131.3" hidden="false" customHeight="false" outlineLevel="0" collapsed="false">
      <c r="J51" s="74" t="n">
        <v>3</v>
      </c>
      <c r="K51" s="74" t="n">
        <v>3</v>
      </c>
      <c r="L51" s="75" t="n">
        <f aca="false">J51*K51</f>
        <v>9</v>
      </c>
      <c r="N51" s="76" t="s">
        <v>361</v>
      </c>
      <c r="O51" s="77" t="n">
        <f aca="false">IF(N51="very good", 0.2, IF(N51="good", 0.4, IF(N51="Satisfactory", 0.6, IF(N51="weak", 0.8, IF(N51="non existent", 1)))))</f>
        <v>0.6</v>
      </c>
      <c r="P51" s="74" t="n">
        <f aca="false">L51*O51</f>
        <v>5.4</v>
      </c>
      <c r="Q51" s="78" t="str">
        <f aca="false">IF(P51&lt;=4,"Acceptable ",IF(P51&lt;=14,"Moderalety Acceptable","Unacceptable"))</f>
        <v>Moderalety Acceptable</v>
      </c>
      <c r="R51" s="78" t="str">
        <f aca="false">IF(P51&lt;=4,"Low Risk",IF(P51&lt;=14,"Medium Risk","High Risk"))</f>
        <v>Medium Risk</v>
      </c>
      <c r="S51" s="78" t="str">
        <f aca="false">IF(R51="High Risk","Treatment",IF(R51="Medium Risk","Treatment","Tolerate"))</f>
        <v>Treatment</v>
      </c>
    </row>
    <row r="52" customFormat="false" ht="131.3" hidden="false" customHeight="false" outlineLevel="0" collapsed="false">
      <c r="J52" s="74" t="n">
        <v>3</v>
      </c>
      <c r="K52" s="74" t="n">
        <v>3</v>
      </c>
      <c r="L52" s="75" t="n">
        <f aca="false">J52*K52</f>
        <v>9</v>
      </c>
      <c r="N52" s="76" t="s">
        <v>361</v>
      </c>
      <c r="O52" s="77" t="n">
        <f aca="false">IF(N52="very good", 0.2, IF(N52="good", 0.4, IF(N52="Satisfactory", 0.6, IF(N52="weak", 0.8, IF(N52="non existent", 1)))))</f>
        <v>0.6</v>
      </c>
      <c r="P52" s="74" t="n">
        <f aca="false">L52*O52</f>
        <v>5.4</v>
      </c>
      <c r="Q52" s="78" t="str">
        <f aca="false">IF(P52&lt;=4,"Acceptable ",IF(P52&lt;=14,"Moderalety Acceptable","Unacceptable"))</f>
        <v>Moderalety Acceptable</v>
      </c>
      <c r="R52" s="78" t="str">
        <f aca="false">IF(P52&lt;=4,"Low Risk",IF(P52&lt;=14,"Medium Risk","High Risk"))</f>
        <v>Medium Risk</v>
      </c>
      <c r="S52" s="78" t="str">
        <f aca="false">IF(R52="High Risk","Treatment",IF(R52="Medium Risk","Treatment","Tolerate"))</f>
        <v>Treatment</v>
      </c>
    </row>
    <row r="53" customFormat="false" ht="131.3" hidden="false" customHeight="false" outlineLevel="0" collapsed="false">
      <c r="J53" s="74" t="n">
        <v>3</v>
      </c>
      <c r="K53" s="74" t="n">
        <v>3</v>
      </c>
      <c r="L53" s="75" t="n">
        <f aca="false">J53*K53</f>
        <v>9</v>
      </c>
      <c r="N53" s="76" t="s">
        <v>361</v>
      </c>
      <c r="O53" s="77" t="n">
        <f aca="false">IF(N53="very good", 0.2, IF(N53="good", 0.4, IF(N53="Satisfactory", 0.6, IF(N53="weak", 0.8, IF(N53="non existent", 1)))))</f>
        <v>0.6</v>
      </c>
      <c r="P53" s="74" t="n">
        <f aca="false">L53*O53</f>
        <v>5.4</v>
      </c>
      <c r="Q53" s="78" t="str">
        <f aca="false">IF(P53&lt;=4,"Acceptable ",IF(P53&lt;=14,"Moderalety Acceptable","Unacceptable"))</f>
        <v>Moderalety Acceptable</v>
      </c>
      <c r="R53" s="78" t="str">
        <f aca="false">IF(P53&lt;=4,"Low Risk",IF(P53&lt;=14,"Medium Risk","High Risk"))</f>
        <v>Medium Risk</v>
      </c>
      <c r="S53" s="78" t="str">
        <f aca="false">IF(R53="High Risk","Treatment",IF(R53="Medium Risk","Treatment","Tolerate"))</f>
        <v>Treatment</v>
      </c>
    </row>
    <row r="54" customFormat="false" ht="131.3" hidden="false" customHeight="false" outlineLevel="0" collapsed="false">
      <c r="J54" s="74" t="n">
        <v>3</v>
      </c>
      <c r="K54" s="74" t="n">
        <v>3</v>
      </c>
      <c r="L54" s="75" t="n">
        <f aca="false">J54*K54</f>
        <v>9</v>
      </c>
      <c r="N54" s="76" t="s">
        <v>361</v>
      </c>
      <c r="O54" s="77" t="n">
        <f aca="false">IF(N54="very good", 0.2, IF(N54="good", 0.4, IF(N54="Satisfactory", 0.6, IF(N54="weak", 0.8, IF(N54="non existent", 1)))))</f>
        <v>0.6</v>
      </c>
      <c r="P54" s="74" t="n">
        <f aca="false">L54*O54</f>
        <v>5.4</v>
      </c>
      <c r="Q54" s="78" t="str">
        <f aca="false">IF(P54&lt;=4,"Acceptable ",IF(P54&lt;=14,"Moderalety Acceptable","Unacceptable"))</f>
        <v>Moderalety Acceptable</v>
      </c>
      <c r="R54" s="78" t="str">
        <f aca="false">IF(P54&lt;=4,"Low Risk",IF(P54&lt;=14,"Medium Risk","High Risk"))</f>
        <v>Medium Risk</v>
      </c>
      <c r="S54" s="78" t="str">
        <f aca="false">IF(R54="High Risk","Treatment",IF(R54="Medium Risk","Treatment","Tolerate"))</f>
        <v>Treatment</v>
      </c>
    </row>
    <row r="55" customFormat="false" ht="131.3" hidden="false" customHeight="false" outlineLevel="0" collapsed="false">
      <c r="J55" s="74" t="n">
        <v>3</v>
      </c>
      <c r="K55" s="74" t="n">
        <v>3</v>
      </c>
      <c r="L55" s="75" t="n">
        <f aca="false">J55*K55</f>
        <v>9</v>
      </c>
      <c r="N55" s="76" t="s">
        <v>361</v>
      </c>
      <c r="O55" s="77" t="n">
        <f aca="false">IF(N55="very good", 0.2, IF(N55="good", 0.4, IF(N55="Satisfactory", 0.6, IF(N55="weak", 0.8, IF(N55="non existent", 1)))))</f>
        <v>0.6</v>
      </c>
      <c r="P55" s="74" t="n">
        <f aca="false">L55*O55</f>
        <v>5.4</v>
      </c>
      <c r="Q55" s="78" t="str">
        <f aca="false">IF(P55&lt;=4,"Acceptable ",IF(P55&lt;=14,"Moderalety Acceptable","Unacceptable"))</f>
        <v>Moderalety Acceptable</v>
      </c>
      <c r="R55" s="78" t="str">
        <f aca="false">IF(P55&lt;=4,"Low Risk",IF(P55&lt;=14,"Medium Risk","High Risk"))</f>
        <v>Medium Risk</v>
      </c>
      <c r="S55" s="78" t="str">
        <f aca="false">IF(R55="High Risk","Treatment",IF(R55="Medium Risk","Treatment","Tolerate"))</f>
        <v>Treatment</v>
      </c>
    </row>
    <row r="56" customFormat="false" ht="131.3" hidden="false" customHeight="false" outlineLevel="0" collapsed="false">
      <c r="J56" s="74" t="n">
        <v>3</v>
      </c>
      <c r="K56" s="74" t="n">
        <v>3</v>
      </c>
      <c r="L56" s="75" t="n">
        <f aca="false">J56*K56</f>
        <v>9</v>
      </c>
      <c r="N56" s="76" t="s">
        <v>361</v>
      </c>
      <c r="O56" s="77" t="n">
        <f aca="false">IF(N56="very good", 0.2, IF(N56="good", 0.4, IF(N56="Satisfactory", 0.6, IF(N56="weak", 0.8, IF(N56="non existent", 1)))))</f>
        <v>0.6</v>
      </c>
      <c r="P56" s="74" t="n">
        <f aca="false">L56*O56</f>
        <v>5.4</v>
      </c>
      <c r="Q56" s="78" t="str">
        <f aca="false">IF(P56&lt;=4,"Acceptable ",IF(P56&lt;=14,"Moderalety Acceptable","Unacceptable"))</f>
        <v>Moderalety Acceptable</v>
      </c>
      <c r="R56" s="78" t="str">
        <f aca="false">IF(P56&lt;=4,"Low Risk",IF(P56&lt;=14,"Medium Risk","High Risk"))</f>
        <v>Medium Risk</v>
      </c>
      <c r="S56" s="78" t="str">
        <f aca="false">IF(R56="High Risk","Treatment",IF(R56="Medium Risk","Treatment","Tolerate"))</f>
        <v>Treatment</v>
      </c>
    </row>
    <row r="57" customFormat="false" ht="131.3" hidden="false" customHeight="false" outlineLevel="0" collapsed="false">
      <c r="J57" s="74" t="n">
        <v>3</v>
      </c>
      <c r="K57" s="74" t="n">
        <v>3</v>
      </c>
      <c r="L57" s="75" t="n">
        <f aca="false">J57*K57</f>
        <v>9</v>
      </c>
      <c r="N57" s="76" t="s">
        <v>361</v>
      </c>
      <c r="O57" s="77" t="n">
        <f aca="false">IF(N57="very good", 0.2, IF(N57="good", 0.4, IF(N57="Satisfactory", 0.6, IF(N57="weak", 0.8, IF(N57="non existent", 1)))))</f>
        <v>0.6</v>
      </c>
      <c r="P57" s="74" t="n">
        <f aca="false">L57*O57</f>
        <v>5.4</v>
      </c>
      <c r="Q57" s="78" t="str">
        <f aca="false">IF(P57&lt;=4,"Acceptable ",IF(P57&lt;=14,"Moderalety Acceptable","Unacceptable"))</f>
        <v>Moderalety Acceptable</v>
      </c>
      <c r="R57" s="78" t="str">
        <f aca="false">IF(P57&lt;=4,"Low Risk",IF(P57&lt;=14,"Medium Risk","High Risk"))</f>
        <v>Medium Risk</v>
      </c>
      <c r="S57" s="78" t="str">
        <f aca="false">IF(R57="High Risk","Treatment",IF(R57="Medium Risk","Treatment","Tolerate"))</f>
        <v>Treatment</v>
      </c>
    </row>
    <row r="58" customFormat="false" ht="131.3" hidden="false" customHeight="false" outlineLevel="0" collapsed="false">
      <c r="J58" s="74" t="n">
        <v>3</v>
      </c>
      <c r="K58" s="74" t="n">
        <v>3</v>
      </c>
      <c r="L58" s="75" t="n">
        <f aca="false">J58*K58</f>
        <v>9</v>
      </c>
      <c r="N58" s="76" t="s">
        <v>361</v>
      </c>
      <c r="O58" s="77" t="n">
        <f aca="false">IF(N58="very good", 0.2, IF(N58="good", 0.4, IF(N58="Satisfactory", 0.6, IF(N58="weak", 0.8, IF(N58="non existent", 1)))))</f>
        <v>0.6</v>
      </c>
      <c r="P58" s="74" t="n">
        <f aca="false">L58*O58</f>
        <v>5.4</v>
      </c>
      <c r="Q58" s="78" t="str">
        <f aca="false">IF(P58&lt;=4,"Acceptable ",IF(P58&lt;=14,"Moderalety Acceptable","Unacceptable"))</f>
        <v>Moderalety Acceptable</v>
      </c>
      <c r="R58" s="78" t="str">
        <f aca="false">IF(P58&lt;=4,"Low Risk",IF(P58&lt;=14,"Medium Risk","High Risk"))</f>
        <v>Medium Risk</v>
      </c>
      <c r="S58" s="78" t="str">
        <f aca="false">IF(R58="High Risk","Treatment",IF(R58="Medium Risk","Treatment","Tolerate"))</f>
        <v>Treatment</v>
      </c>
    </row>
    <row r="59" customFormat="false" ht="131.3" hidden="false" customHeight="false" outlineLevel="0" collapsed="false">
      <c r="J59" s="74" t="n">
        <v>3</v>
      </c>
      <c r="K59" s="74" t="n">
        <v>3</v>
      </c>
      <c r="L59" s="75" t="n">
        <f aca="false">J59*K59</f>
        <v>9</v>
      </c>
      <c r="N59" s="76" t="s">
        <v>361</v>
      </c>
      <c r="O59" s="77" t="n">
        <f aca="false">IF(N59="very good", 0.2, IF(N59="good", 0.4, IF(N59="Satisfactory", 0.6, IF(N59="weak", 0.8, IF(N59="non existent", 1)))))</f>
        <v>0.6</v>
      </c>
      <c r="P59" s="74" t="n">
        <f aca="false">L59*O59</f>
        <v>5.4</v>
      </c>
      <c r="Q59" s="78" t="str">
        <f aca="false">IF(P59&lt;=4,"Acceptable ",IF(P59&lt;=14,"Moderalety Acceptable","Unacceptable"))</f>
        <v>Moderalety Acceptable</v>
      </c>
      <c r="R59" s="78" t="str">
        <f aca="false">IF(P59&lt;=4,"Low Risk",IF(P59&lt;=14,"Medium Risk","High Risk"))</f>
        <v>Medium Risk</v>
      </c>
      <c r="S59" s="78" t="str">
        <f aca="false">IF(R59="High Risk","Treatment",IF(R59="Medium Risk","Treatment","Tolerate"))</f>
        <v>Treatment</v>
      </c>
    </row>
    <row r="60" customFormat="false" ht="131.3" hidden="false" customHeight="false" outlineLevel="0" collapsed="false">
      <c r="J60" s="74" t="n">
        <v>3</v>
      </c>
      <c r="K60" s="74" t="n">
        <v>3</v>
      </c>
      <c r="L60" s="75" t="n">
        <f aca="false">J60*K60</f>
        <v>9</v>
      </c>
      <c r="N60" s="76" t="s">
        <v>361</v>
      </c>
      <c r="O60" s="77" t="n">
        <f aca="false">IF(N60="very good", 0.2, IF(N60="good", 0.4, IF(N60="Satisfactory", 0.6, IF(N60="weak", 0.8, IF(N60="non existent", 1)))))</f>
        <v>0.6</v>
      </c>
      <c r="P60" s="74" t="n">
        <f aca="false">L60*O60</f>
        <v>5.4</v>
      </c>
      <c r="Q60" s="78" t="str">
        <f aca="false">IF(P60&lt;=4,"Acceptable ",IF(P60&lt;=14,"Moderalety Acceptable","Unacceptable"))</f>
        <v>Moderalety Acceptable</v>
      </c>
      <c r="R60" s="78" t="str">
        <f aca="false">IF(P60&lt;=4,"Low Risk",IF(P60&lt;=14,"Medium Risk","High Risk"))</f>
        <v>Medium Risk</v>
      </c>
      <c r="S60" s="78" t="str">
        <f aca="false">IF(R60="High Risk","Treatment",IF(R60="Medium Risk","Treatment","Tolerate"))</f>
        <v>Treatment</v>
      </c>
    </row>
    <row r="61" customFormat="false" ht="131.3" hidden="false" customHeight="false" outlineLevel="0" collapsed="false">
      <c r="J61" s="74" t="n">
        <v>3</v>
      </c>
      <c r="K61" s="74" t="n">
        <v>3</v>
      </c>
      <c r="L61" s="75" t="n">
        <f aca="false">J61*K61</f>
        <v>9</v>
      </c>
      <c r="N61" s="76" t="s">
        <v>361</v>
      </c>
      <c r="O61" s="77" t="n">
        <f aca="false">IF(N61="very good", 0.2, IF(N61="good", 0.4, IF(N61="Satisfactory", 0.6, IF(N61="weak", 0.8, IF(N61="non existent", 1)))))</f>
        <v>0.6</v>
      </c>
      <c r="P61" s="74" t="n">
        <f aca="false">L61*O61</f>
        <v>5.4</v>
      </c>
      <c r="Q61" s="78" t="str">
        <f aca="false">IF(P61&lt;=4,"Acceptable ",IF(P61&lt;=14,"Moderalety Acceptable","Unacceptable"))</f>
        <v>Moderalety Acceptable</v>
      </c>
      <c r="R61" s="78" t="str">
        <f aca="false">IF(P61&lt;=4,"Low Risk",IF(P61&lt;=14,"Medium Risk","High Risk"))</f>
        <v>Medium Risk</v>
      </c>
      <c r="S61" s="78" t="str">
        <f aca="false">IF(R61="High Risk","Treatment",IF(R61="Medium Risk","Treatment","Tolerate"))</f>
        <v>Treatment</v>
      </c>
    </row>
    <row r="62" customFormat="false" ht="131.3" hidden="false" customHeight="false" outlineLevel="0" collapsed="false">
      <c r="J62" s="74" t="n">
        <v>3</v>
      </c>
      <c r="K62" s="74" t="n">
        <v>3</v>
      </c>
      <c r="L62" s="75" t="n">
        <f aca="false">J62*K62</f>
        <v>9</v>
      </c>
      <c r="N62" s="76" t="s">
        <v>361</v>
      </c>
      <c r="O62" s="77" t="n">
        <f aca="false">IF(N62="very good", 0.2, IF(N62="good", 0.4, IF(N62="Satisfactory", 0.6, IF(N62="weak", 0.8, IF(N62="non existent", 1)))))</f>
        <v>0.6</v>
      </c>
      <c r="P62" s="74" t="n">
        <f aca="false">L62*O62</f>
        <v>5.4</v>
      </c>
      <c r="Q62" s="78" t="str">
        <f aca="false">IF(P62&lt;=4,"Acceptable ",IF(P62&lt;=14,"Moderalety Acceptable","Unacceptable"))</f>
        <v>Moderalety Acceptable</v>
      </c>
      <c r="R62" s="78" t="str">
        <f aca="false">IF(P62&lt;=4,"Low Risk",IF(P62&lt;=14,"Medium Risk","High Risk"))</f>
        <v>Medium Risk</v>
      </c>
      <c r="S62" s="78" t="str">
        <f aca="false">IF(R62="High Risk","Treatment",IF(R62="Medium Risk","Treatment","Tolerate"))</f>
        <v>Treatment</v>
      </c>
    </row>
    <row r="63" customFormat="false" ht="131.3" hidden="false" customHeight="false" outlineLevel="0" collapsed="false">
      <c r="J63" s="74" t="n">
        <v>3</v>
      </c>
      <c r="K63" s="74" t="n">
        <v>3</v>
      </c>
      <c r="L63" s="75" t="n">
        <f aca="false">J63*K63</f>
        <v>9</v>
      </c>
      <c r="N63" s="76" t="s">
        <v>361</v>
      </c>
      <c r="O63" s="77" t="n">
        <f aca="false">IF(N63="very good", 0.2, IF(N63="good", 0.4, IF(N63="Satisfactory", 0.6, IF(N63="weak", 0.8, IF(N63="non existent", 1)))))</f>
        <v>0.6</v>
      </c>
      <c r="P63" s="74" t="n">
        <f aca="false">L63*O63</f>
        <v>5.4</v>
      </c>
      <c r="Q63" s="78" t="str">
        <f aca="false">IF(P63&lt;=4,"Acceptable ",IF(P63&lt;=14,"Moderalety Acceptable","Unacceptable"))</f>
        <v>Moderalety Acceptable</v>
      </c>
      <c r="R63" s="78" t="str">
        <f aca="false">IF(P63&lt;=4,"Low Risk",IF(P63&lt;=14,"Medium Risk","High Risk"))</f>
        <v>Medium Risk</v>
      </c>
      <c r="S63" s="78" t="str">
        <f aca="false">IF(R63="High Risk","Treatment",IF(R63="Medium Risk","Treatment","Tolerate"))</f>
        <v>Treatment</v>
      </c>
    </row>
    <row r="64" customFormat="false" ht="131.3" hidden="false" customHeight="false" outlineLevel="0" collapsed="false">
      <c r="J64" s="74" t="n">
        <v>3</v>
      </c>
      <c r="K64" s="74" t="n">
        <v>3</v>
      </c>
      <c r="L64" s="75" t="n">
        <f aca="false">J64*K64</f>
        <v>9</v>
      </c>
      <c r="N64" s="76" t="s">
        <v>361</v>
      </c>
      <c r="O64" s="77" t="n">
        <f aca="false">IF(N64="very good", 0.2, IF(N64="good", 0.4, IF(N64="Satisfactory", 0.6, IF(N64="weak", 0.8, IF(N64="non existent", 1)))))</f>
        <v>0.6</v>
      </c>
      <c r="P64" s="74" t="n">
        <f aca="false">L64*O64</f>
        <v>5.4</v>
      </c>
      <c r="Q64" s="78" t="str">
        <f aca="false">IF(P64&lt;=4,"Acceptable ",IF(P64&lt;=14,"Moderalety Acceptable","Unacceptable"))</f>
        <v>Moderalety Acceptable</v>
      </c>
      <c r="R64" s="78" t="str">
        <f aca="false">IF(P64&lt;=4,"Low Risk",IF(P64&lt;=14,"Medium Risk","High Risk"))</f>
        <v>Medium Risk</v>
      </c>
      <c r="S64" s="78" t="str">
        <f aca="false">IF(R64="High Risk","Treatment",IF(R64="Medium Risk","Treatment","Tolerate"))</f>
        <v>Treatment</v>
      </c>
    </row>
    <row r="65" customFormat="false" ht="131.3" hidden="false" customHeight="false" outlineLevel="0" collapsed="false">
      <c r="J65" s="74" t="n">
        <v>3</v>
      </c>
      <c r="K65" s="74" t="n">
        <v>3</v>
      </c>
      <c r="L65" s="75" t="n">
        <f aca="false">J65*K65</f>
        <v>9</v>
      </c>
      <c r="N65" s="76" t="s">
        <v>361</v>
      </c>
      <c r="O65" s="77" t="n">
        <f aca="false">IF(N65="very good", 0.2, IF(N65="good", 0.4, IF(N65="Satisfactory", 0.6, IF(N65="weak", 0.8, IF(N65="non existent", 1)))))</f>
        <v>0.6</v>
      </c>
      <c r="P65" s="74" t="n">
        <f aca="false">L65*O65</f>
        <v>5.4</v>
      </c>
      <c r="Q65" s="78" t="str">
        <f aca="false">IF(P65&lt;=4,"Acceptable ",IF(P65&lt;=14,"Moderalety Acceptable","Unacceptable"))</f>
        <v>Moderalety Acceptable</v>
      </c>
      <c r="R65" s="78" t="str">
        <f aca="false">IF(P65&lt;=4,"Low Risk",IF(P65&lt;=14,"Medium Risk","High Risk"))</f>
        <v>Medium Risk</v>
      </c>
      <c r="S65" s="78" t="str">
        <f aca="false">IF(R65="High Risk","Treatment",IF(R65="Medium Risk","Treatment","Tolerate"))</f>
        <v>Treatment</v>
      </c>
    </row>
    <row r="66" customFormat="false" ht="131.3" hidden="false" customHeight="false" outlineLevel="0" collapsed="false">
      <c r="J66" s="74" t="n">
        <v>3</v>
      </c>
      <c r="K66" s="74" t="n">
        <v>3</v>
      </c>
      <c r="L66" s="75" t="n">
        <f aca="false">J66*K66</f>
        <v>9</v>
      </c>
      <c r="N66" s="76" t="s">
        <v>361</v>
      </c>
      <c r="O66" s="77" t="n">
        <f aca="false">IF(N66="very good", 0.2, IF(N66="good", 0.4, IF(N66="Satisfactory", 0.6, IF(N66="weak", 0.8, IF(N66="non existent", 1)))))</f>
        <v>0.6</v>
      </c>
      <c r="P66" s="74" t="n">
        <f aca="false">L66*O66</f>
        <v>5.4</v>
      </c>
      <c r="Q66" s="78" t="str">
        <f aca="false">IF(P66&lt;=4,"Acceptable ",IF(P66&lt;=14,"Moderalety Acceptable","Unacceptable"))</f>
        <v>Moderalety Acceptable</v>
      </c>
      <c r="R66" s="78" t="str">
        <f aca="false">IF(P66&lt;=4,"Low Risk",IF(P66&lt;=14,"Medium Risk","High Risk"))</f>
        <v>Medium Risk</v>
      </c>
      <c r="S66" s="78" t="str">
        <f aca="false">IF(R66="High Risk","Treatment",IF(R66="Medium Risk","Treatment","Tolerate"))</f>
        <v>Treatment</v>
      </c>
    </row>
    <row r="67" customFormat="false" ht="131.3" hidden="false" customHeight="false" outlineLevel="0" collapsed="false">
      <c r="J67" s="74" t="n">
        <v>3</v>
      </c>
      <c r="K67" s="74" t="n">
        <v>3</v>
      </c>
      <c r="L67" s="75" t="n">
        <f aca="false">J67*K67</f>
        <v>9</v>
      </c>
      <c r="N67" s="76" t="s">
        <v>361</v>
      </c>
      <c r="O67" s="77" t="n">
        <f aca="false">IF(N67="very good", 0.2, IF(N67="good", 0.4, IF(N67="Satisfactory", 0.6, IF(N67="weak", 0.8, IF(N67="non existent", 1)))))</f>
        <v>0.6</v>
      </c>
      <c r="P67" s="74" t="n">
        <f aca="false">L67*O67</f>
        <v>5.4</v>
      </c>
      <c r="Q67" s="78" t="str">
        <f aca="false">IF(P67&lt;=4,"Acceptable ",IF(P67&lt;=14,"Moderalety Acceptable","Unacceptable"))</f>
        <v>Moderalety Acceptable</v>
      </c>
      <c r="R67" s="78" t="str">
        <f aca="false">IF(P67&lt;=4,"Low Risk",IF(P67&lt;=14,"Medium Risk","High Risk"))</f>
        <v>Medium Risk</v>
      </c>
      <c r="S67" s="78" t="str">
        <f aca="false">IF(R67="High Risk","Treatment",IF(R67="Medium Risk","Treatment","Tolerate"))</f>
        <v>Treatment</v>
      </c>
    </row>
    <row r="68" customFormat="false" ht="131.3" hidden="false" customHeight="false" outlineLevel="0" collapsed="false">
      <c r="J68" s="74" t="n">
        <v>3</v>
      </c>
      <c r="K68" s="74" t="n">
        <v>3</v>
      </c>
      <c r="L68" s="75" t="n">
        <f aca="false">J68*K68</f>
        <v>9</v>
      </c>
      <c r="N68" s="76" t="s">
        <v>361</v>
      </c>
      <c r="O68" s="77" t="n">
        <f aca="false">IF(N68="very good", 0.2, IF(N68="good", 0.4, IF(N68="Satisfactory", 0.6, IF(N68="weak", 0.8, IF(N68="non existent", 1)))))</f>
        <v>0.6</v>
      </c>
      <c r="P68" s="74" t="n">
        <f aca="false">L68*O68</f>
        <v>5.4</v>
      </c>
      <c r="Q68" s="78" t="str">
        <f aca="false">IF(P68&lt;=4,"Acceptable ",IF(P68&lt;=14,"Moderalety Acceptable","Unacceptable"))</f>
        <v>Moderalety Acceptable</v>
      </c>
      <c r="R68" s="78" t="str">
        <f aca="false">IF(P68&lt;=4,"Low Risk",IF(P68&lt;=14,"Medium Risk","High Risk"))</f>
        <v>Medium Risk</v>
      </c>
      <c r="S68" s="78" t="str">
        <f aca="false">IF(R68="High Risk","Treatment",IF(R68="Medium Risk","Treatment","Tolerate"))</f>
        <v>Treatment</v>
      </c>
    </row>
    <row r="69" customFormat="false" ht="131.3" hidden="false" customHeight="false" outlineLevel="0" collapsed="false">
      <c r="J69" s="74" t="n">
        <v>3</v>
      </c>
      <c r="K69" s="74" t="n">
        <v>3</v>
      </c>
      <c r="L69" s="75" t="n">
        <f aca="false">J69*K69</f>
        <v>9</v>
      </c>
      <c r="N69" s="76" t="s">
        <v>361</v>
      </c>
      <c r="O69" s="77" t="n">
        <f aca="false">IF(N69="very good", 0.2, IF(N69="good", 0.4, IF(N69="Satisfactory", 0.6, IF(N69="weak", 0.8, IF(N69="non existent", 1)))))</f>
        <v>0.6</v>
      </c>
      <c r="P69" s="74" t="n">
        <f aca="false">L69*O69</f>
        <v>5.4</v>
      </c>
      <c r="Q69" s="78" t="str">
        <f aca="false">IF(P69&lt;=4,"Acceptable ",IF(P69&lt;=14,"Moderalety Acceptable","Unacceptable"))</f>
        <v>Moderalety Acceptable</v>
      </c>
      <c r="R69" s="78" t="str">
        <f aca="false">IF(P69&lt;=4,"Low Risk",IF(P69&lt;=14,"Medium Risk","High Risk"))</f>
        <v>Medium Risk</v>
      </c>
      <c r="S69" s="78" t="str">
        <f aca="false">IF(R69="High Risk","Treatment",IF(R69="Medium Risk","Treatment","Tolerate"))</f>
        <v>Treatment</v>
      </c>
    </row>
    <row r="70" customFormat="false" ht="131.3" hidden="false" customHeight="false" outlineLevel="0" collapsed="false">
      <c r="J70" s="74" t="n">
        <v>3</v>
      </c>
      <c r="K70" s="74" t="n">
        <v>3</v>
      </c>
      <c r="L70" s="75" t="n">
        <f aca="false">J70*K70</f>
        <v>9</v>
      </c>
      <c r="N70" s="76" t="s">
        <v>361</v>
      </c>
      <c r="O70" s="77" t="n">
        <f aca="false">IF(N70="very good", 0.2, IF(N70="good", 0.4, IF(N70="Satisfactory", 0.6, IF(N70="weak", 0.8, IF(N70="non existent", 1)))))</f>
        <v>0.6</v>
      </c>
      <c r="P70" s="74" t="n">
        <f aca="false">L70*O70</f>
        <v>5.4</v>
      </c>
      <c r="Q70" s="78" t="str">
        <f aca="false">IF(P70&lt;=4,"Acceptable ",IF(P70&lt;=14,"Moderalety Acceptable","Unacceptable"))</f>
        <v>Moderalety Acceptable</v>
      </c>
      <c r="R70" s="78" t="str">
        <f aca="false">IF(P70&lt;=4,"Low Risk",IF(P70&lt;=14,"Medium Risk","High Risk"))</f>
        <v>Medium Risk</v>
      </c>
      <c r="S70" s="78" t="str">
        <f aca="false">IF(R70="High Risk","Treatment",IF(R70="Medium Risk","Treatment","Tolerate"))</f>
        <v>Treatment</v>
      </c>
    </row>
    <row r="71" customFormat="false" ht="131.3" hidden="false" customHeight="false" outlineLevel="0" collapsed="false">
      <c r="J71" s="74" t="n">
        <v>3</v>
      </c>
      <c r="K71" s="74" t="n">
        <v>3</v>
      </c>
      <c r="L71" s="75" t="n">
        <f aca="false">J71*K71</f>
        <v>9</v>
      </c>
      <c r="N71" s="76" t="s">
        <v>361</v>
      </c>
      <c r="O71" s="77" t="n">
        <f aca="false">IF(N71="very good", 0.2, IF(N71="good", 0.4, IF(N71="Satisfactory", 0.6, IF(N71="weak", 0.8, IF(N71="non existent", 1)))))</f>
        <v>0.6</v>
      </c>
      <c r="P71" s="74" t="n">
        <f aca="false">L71*O71</f>
        <v>5.4</v>
      </c>
      <c r="Q71" s="78" t="str">
        <f aca="false">IF(P71&lt;=4,"Acceptable ",IF(P71&lt;=14,"Moderalety Acceptable","Unacceptable"))</f>
        <v>Moderalety Acceptable</v>
      </c>
      <c r="R71" s="78" t="str">
        <f aca="false">IF(P71&lt;=4,"Low Risk",IF(P71&lt;=14,"Medium Risk","High Risk"))</f>
        <v>Medium Risk</v>
      </c>
      <c r="S71" s="78" t="str">
        <f aca="false">IF(R71="High Risk","Treatment",IF(R71="Medium Risk","Treatment","Tolerate"))</f>
        <v>Treatment</v>
      </c>
    </row>
    <row r="72" customFormat="false" ht="131.3" hidden="false" customHeight="false" outlineLevel="0" collapsed="false">
      <c r="J72" s="74" t="n">
        <v>3</v>
      </c>
      <c r="K72" s="74" t="n">
        <v>3</v>
      </c>
      <c r="L72" s="75" t="n">
        <f aca="false">J72*K72</f>
        <v>9</v>
      </c>
      <c r="N72" s="76" t="s">
        <v>361</v>
      </c>
      <c r="O72" s="77" t="n">
        <f aca="false">IF(N72="very good", 0.2, IF(N72="good", 0.4, IF(N72="Satisfactory", 0.6, IF(N72="weak", 0.8, IF(N72="non existent", 1)))))</f>
        <v>0.6</v>
      </c>
      <c r="P72" s="74" t="n">
        <f aca="false">L72*O72</f>
        <v>5.4</v>
      </c>
      <c r="Q72" s="78" t="str">
        <f aca="false">IF(P72&lt;=4,"Acceptable ",IF(P72&lt;=14,"Moderalety Acceptable","Unacceptable"))</f>
        <v>Moderalety Acceptable</v>
      </c>
      <c r="R72" s="78" t="str">
        <f aca="false">IF(P72&lt;=4,"Low Risk",IF(P72&lt;=14,"Medium Risk","High Risk"))</f>
        <v>Medium Risk</v>
      </c>
      <c r="S72" s="78" t="str">
        <f aca="false">IF(R72="High Risk","Treatment",IF(R72="Medium Risk","Treatment","Tolerate"))</f>
        <v>Treatment</v>
      </c>
    </row>
    <row r="73" customFormat="false" ht="131.3" hidden="false" customHeight="false" outlineLevel="0" collapsed="false">
      <c r="J73" s="74" t="n">
        <v>3</v>
      </c>
      <c r="K73" s="74" t="n">
        <v>3</v>
      </c>
      <c r="L73" s="75" t="n">
        <f aca="false">J73*K73</f>
        <v>9</v>
      </c>
      <c r="N73" s="76" t="s">
        <v>361</v>
      </c>
      <c r="O73" s="77" t="n">
        <f aca="false">IF(N73="very good", 0.2, IF(N73="good", 0.4, IF(N73="Satisfactory", 0.6, IF(N73="weak", 0.8, IF(N73="non existent", 1)))))</f>
        <v>0.6</v>
      </c>
      <c r="P73" s="74" t="n">
        <f aca="false">L73*O73</f>
        <v>5.4</v>
      </c>
      <c r="Q73" s="78" t="str">
        <f aca="false">IF(P73&lt;=4,"Acceptable ",IF(P73&lt;=14,"Moderalety Acceptable","Unacceptable"))</f>
        <v>Moderalety Acceptable</v>
      </c>
      <c r="R73" s="78" t="str">
        <f aca="false">IF(P73&lt;=4,"Low Risk",IF(P73&lt;=14,"Medium Risk","High Risk"))</f>
        <v>Medium Risk</v>
      </c>
      <c r="S73" s="78" t="str">
        <f aca="false">IF(R73="High Risk","Treatment",IF(R73="Medium Risk","Treatment","Tolerate"))</f>
        <v>Treatment</v>
      </c>
    </row>
    <row r="74" customFormat="false" ht="131.3" hidden="false" customHeight="false" outlineLevel="0" collapsed="false">
      <c r="J74" s="74" t="n">
        <v>3</v>
      </c>
      <c r="K74" s="74" t="n">
        <v>3</v>
      </c>
      <c r="L74" s="75" t="n">
        <f aca="false">J74*K74</f>
        <v>9</v>
      </c>
      <c r="N74" s="76" t="s">
        <v>361</v>
      </c>
      <c r="O74" s="77" t="n">
        <f aca="false">IF(N74="very good", 0.2, IF(N74="good", 0.4, IF(N74="Satisfactory", 0.6, IF(N74="weak", 0.8, IF(N74="non existent", 1)))))</f>
        <v>0.6</v>
      </c>
      <c r="P74" s="74" t="n">
        <f aca="false">L74*O74</f>
        <v>5.4</v>
      </c>
      <c r="Q74" s="78" t="str">
        <f aca="false">IF(P74&lt;=4,"Acceptable ",IF(P74&lt;=14,"Moderalety Acceptable","Unacceptable"))</f>
        <v>Moderalety Acceptable</v>
      </c>
      <c r="R74" s="78" t="str">
        <f aca="false">IF(P74&lt;=4,"Low Risk",IF(P74&lt;=14,"Medium Risk","High Risk"))</f>
        <v>Medium Risk</v>
      </c>
      <c r="S74" s="78" t="str">
        <f aca="false">IF(R74="High Risk","Treatment",IF(R74="Medium Risk","Treatment","Tolerate"))</f>
        <v>Treatment</v>
      </c>
    </row>
    <row r="75" customFormat="false" ht="131.3" hidden="false" customHeight="false" outlineLevel="0" collapsed="false">
      <c r="J75" s="74" t="n">
        <v>3</v>
      </c>
      <c r="K75" s="74" t="n">
        <v>3</v>
      </c>
      <c r="L75" s="75" t="n">
        <f aca="false">J75*K75</f>
        <v>9</v>
      </c>
      <c r="N75" s="76" t="s">
        <v>361</v>
      </c>
      <c r="O75" s="77" t="n">
        <f aca="false">IF(N75="very good", 0.2, IF(N75="good", 0.4, IF(N75="Satisfactory", 0.6, IF(N75="weak", 0.8, IF(N75="non existent", 1)))))</f>
        <v>0.6</v>
      </c>
      <c r="P75" s="74" t="n">
        <f aca="false">L75*O75</f>
        <v>5.4</v>
      </c>
      <c r="Q75" s="78" t="str">
        <f aca="false">IF(P75&lt;=4,"Acceptable ",IF(P75&lt;=14,"Moderalety Acceptable","Unacceptable"))</f>
        <v>Moderalety Acceptable</v>
      </c>
      <c r="R75" s="78" t="str">
        <f aca="false">IF(P75&lt;=4,"Low Risk",IF(P75&lt;=14,"Medium Risk","High Risk"))</f>
        <v>Medium Risk</v>
      </c>
      <c r="S75" s="78" t="str">
        <f aca="false">IF(R75="High Risk","Treatment",IF(R75="Medium Risk","Treatment","Tolerate"))</f>
        <v>Treatment</v>
      </c>
    </row>
    <row r="76" customFormat="false" ht="131.3" hidden="false" customHeight="false" outlineLevel="0" collapsed="false">
      <c r="J76" s="74" t="n">
        <v>3</v>
      </c>
      <c r="K76" s="74" t="n">
        <v>3</v>
      </c>
      <c r="L76" s="75" t="n">
        <f aca="false">J76*K76</f>
        <v>9</v>
      </c>
      <c r="N76" s="76" t="s">
        <v>361</v>
      </c>
      <c r="O76" s="77" t="n">
        <f aca="false">IF(N76="very good", 0.2, IF(N76="good", 0.4, IF(N76="Satisfactory", 0.6, IF(N76="weak", 0.8, IF(N76="non existent", 1)))))</f>
        <v>0.6</v>
      </c>
      <c r="P76" s="74" t="n">
        <f aca="false">L76*O76</f>
        <v>5.4</v>
      </c>
      <c r="Q76" s="78" t="str">
        <f aca="false">IF(P76&lt;=4,"Acceptable ",IF(P76&lt;=14,"Moderalety Acceptable","Unacceptable"))</f>
        <v>Moderalety Acceptable</v>
      </c>
      <c r="R76" s="78" t="str">
        <f aca="false">IF(P76&lt;=4,"Low Risk",IF(P76&lt;=14,"Medium Risk","High Risk"))</f>
        <v>Medium Risk</v>
      </c>
      <c r="S76" s="78" t="str">
        <f aca="false">IF(R76="High Risk","Treatment",IF(R76="Medium Risk","Treatment","Tolerate"))</f>
        <v>Treatment</v>
      </c>
    </row>
    <row r="77" customFormat="false" ht="131.3" hidden="false" customHeight="false" outlineLevel="0" collapsed="false">
      <c r="J77" s="74" t="n">
        <v>3</v>
      </c>
      <c r="K77" s="74" t="n">
        <v>3</v>
      </c>
      <c r="L77" s="75" t="n">
        <f aca="false">J77*K77</f>
        <v>9</v>
      </c>
      <c r="N77" s="76" t="s">
        <v>361</v>
      </c>
      <c r="O77" s="77" t="n">
        <f aca="false">IF(N77="very good", 0.2, IF(N77="good", 0.4, IF(N77="Satisfactory", 0.6, IF(N77="weak", 0.8, IF(N77="non existent", 1)))))</f>
        <v>0.6</v>
      </c>
      <c r="P77" s="74" t="n">
        <f aca="false">L77*O77</f>
        <v>5.4</v>
      </c>
      <c r="Q77" s="78" t="str">
        <f aca="false">IF(P77&lt;=4,"Acceptable ",IF(P77&lt;=14,"Moderalety Acceptable","Unacceptable"))</f>
        <v>Moderalety Acceptable</v>
      </c>
      <c r="R77" s="78" t="str">
        <f aca="false">IF(P77&lt;=4,"Low Risk",IF(P77&lt;=14,"Medium Risk","High Risk"))</f>
        <v>Medium Risk</v>
      </c>
      <c r="S77" s="78" t="str">
        <f aca="false">IF(R77="High Risk","Treatment",IF(R77="Medium Risk","Treatment","Tolerate"))</f>
        <v>Treatment</v>
      </c>
    </row>
    <row r="78" customFormat="false" ht="131.3" hidden="false" customHeight="false" outlineLevel="0" collapsed="false">
      <c r="J78" s="74" t="n">
        <v>3</v>
      </c>
      <c r="K78" s="74" t="n">
        <v>3</v>
      </c>
      <c r="L78" s="75" t="n">
        <f aca="false">J78*K78</f>
        <v>9</v>
      </c>
      <c r="N78" s="76" t="s">
        <v>361</v>
      </c>
      <c r="O78" s="77" t="n">
        <f aca="false">IF(N78="very good", 0.2, IF(N78="good", 0.4, IF(N78="Satisfactory", 0.6, IF(N78="weak", 0.8, IF(N78="non existent", 1)))))</f>
        <v>0.6</v>
      </c>
      <c r="P78" s="74" t="n">
        <f aca="false">L78*O78</f>
        <v>5.4</v>
      </c>
      <c r="Q78" s="78" t="str">
        <f aca="false">IF(P78&lt;=4,"Acceptable ",IF(P78&lt;=14,"Moderalety Acceptable","Unacceptable"))</f>
        <v>Moderalety Acceptable</v>
      </c>
      <c r="R78" s="78" t="str">
        <f aca="false">IF(P78&lt;=4,"Low Risk",IF(P78&lt;=14,"Medium Risk","High Risk"))</f>
        <v>Medium Risk</v>
      </c>
      <c r="S78" s="78" t="str">
        <f aca="false">IF(R78="High Risk","Treatment",IF(R78="Medium Risk","Treatment","Tolerate"))</f>
        <v>Treatment</v>
      </c>
    </row>
    <row r="79" customFormat="false" ht="131.3" hidden="false" customHeight="false" outlineLevel="0" collapsed="false">
      <c r="J79" s="74" t="n">
        <v>3</v>
      </c>
      <c r="K79" s="74" t="n">
        <v>3</v>
      </c>
      <c r="L79" s="75" t="n">
        <f aca="false">J79*K79</f>
        <v>9</v>
      </c>
      <c r="N79" s="76" t="s">
        <v>361</v>
      </c>
      <c r="O79" s="77" t="n">
        <f aca="false">IF(N79="very good", 0.2, IF(N79="good", 0.4, IF(N79="Satisfactory", 0.6, IF(N79="weak", 0.8, IF(N79="non existent", 1)))))</f>
        <v>0.6</v>
      </c>
      <c r="P79" s="74" t="n">
        <f aca="false">L79*O79</f>
        <v>5.4</v>
      </c>
      <c r="Q79" s="78" t="str">
        <f aca="false">IF(P79&lt;=4,"Acceptable ",IF(P79&lt;=14,"Moderalety Acceptable","Unacceptable"))</f>
        <v>Moderalety Acceptable</v>
      </c>
      <c r="R79" s="78" t="str">
        <f aca="false">IF(P79&lt;=4,"Low Risk",IF(P79&lt;=14,"Medium Risk","High Risk"))</f>
        <v>Medium Risk</v>
      </c>
      <c r="S79" s="78" t="str">
        <f aca="false">IF(R79="High Risk","Treatment",IF(R79="Medium Risk","Treatment","Tolerate"))</f>
        <v>Treatment</v>
      </c>
    </row>
    <row r="80" customFormat="false" ht="131.3" hidden="false" customHeight="false" outlineLevel="0" collapsed="false">
      <c r="J80" s="74" t="n">
        <v>3</v>
      </c>
      <c r="K80" s="74" t="n">
        <v>3</v>
      </c>
      <c r="L80" s="75" t="n">
        <f aca="false">J80*K80</f>
        <v>9</v>
      </c>
      <c r="N80" s="76" t="s">
        <v>361</v>
      </c>
      <c r="O80" s="77" t="n">
        <f aca="false">IF(N80="very good", 0.2, IF(N80="good", 0.4, IF(N80="Satisfactory", 0.6, IF(N80="weak", 0.8, IF(N80="non existent", 1)))))</f>
        <v>0.6</v>
      </c>
      <c r="P80" s="74" t="n">
        <f aca="false">L80*O80</f>
        <v>5.4</v>
      </c>
      <c r="Q80" s="78" t="str">
        <f aca="false">IF(P80&lt;=4,"Acceptable ",IF(P80&lt;=14,"Moderalety Acceptable","Unacceptable"))</f>
        <v>Moderalety Acceptable</v>
      </c>
      <c r="R80" s="78" t="str">
        <f aca="false">IF(P80&lt;=4,"Low Risk",IF(P80&lt;=14,"Medium Risk","High Risk"))</f>
        <v>Medium Risk</v>
      </c>
      <c r="S80" s="78" t="str">
        <f aca="false">IF(R80="High Risk","Treatment",IF(R80="Medium Risk","Treatment","Tolerate"))</f>
        <v>Treatment</v>
      </c>
    </row>
    <row r="81" customFormat="false" ht="131.3" hidden="false" customHeight="false" outlineLevel="0" collapsed="false">
      <c r="J81" s="74" t="n">
        <v>3</v>
      </c>
      <c r="K81" s="74" t="n">
        <v>3</v>
      </c>
      <c r="L81" s="75" t="n">
        <f aca="false">J81*K81</f>
        <v>9</v>
      </c>
      <c r="N81" s="76" t="s">
        <v>361</v>
      </c>
      <c r="O81" s="77" t="n">
        <f aca="false">IF(N81="very good", 0.2, IF(N81="good", 0.4, IF(N81="Satisfactory", 0.6, IF(N81="weak", 0.8, IF(N81="non existent", 1)))))</f>
        <v>0.6</v>
      </c>
      <c r="P81" s="74" t="n">
        <f aca="false">L81*O81</f>
        <v>5.4</v>
      </c>
      <c r="Q81" s="78" t="str">
        <f aca="false">IF(P81&lt;=4,"Acceptable ",IF(P81&lt;=14,"Moderalety Acceptable","Unacceptable"))</f>
        <v>Moderalety Acceptable</v>
      </c>
      <c r="R81" s="78" t="str">
        <f aca="false">IF(P81&lt;=4,"Low Risk",IF(P81&lt;=14,"Medium Risk","High Risk"))</f>
        <v>Medium Risk</v>
      </c>
      <c r="S81" s="78" t="str">
        <f aca="false">IF(R81="High Risk","Treatment",IF(R81="Medium Risk","Treatment","Tolerate"))</f>
        <v>Treatment</v>
      </c>
    </row>
    <row r="82" customFormat="false" ht="131.3" hidden="false" customHeight="false" outlineLevel="0" collapsed="false">
      <c r="J82" s="74" t="n">
        <v>3</v>
      </c>
      <c r="K82" s="74" t="n">
        <v>3</v>
      </c>
      <c r="L82" s="75" t="n">
        <f aca="false">J82*K82</f>
        <v>9</v>
      </c>
      <c r="N82" s="76" t="s">
        <v>361</v>
      </c>
      <c r="O82" s="77" t="n">
        <f aca="false">IF(N82="very good", 0.2, IF(N82="good", 0.4, IF(N82="Satisfactory", 0.6, IF(N82="weak", 0.8, IF(N82="non existent", 1)))))</f>
        <v>0.6</v>
      </c>
      <c r="P82" s="74" t="n">
        <f aca="false">L82*O82</f>
        <v>5.4</v>
      </c>
      <c r="Q82" s="78" t="str">
        <f aca="false">IF(P82&lt;=4,"Acceptable ",IF(P82&lt;=14,"Moderalety Acceptable","Unacceptable"))</f>
        <v>Moderalety Acceptable</v>
      </c>
      <c r="R82" s="78" t="str">
        <f aca="false">IF(P82&lt;=4,"Low Risk",IF(P82&lt;=14,"Medium Risk","High Risk"))</f>
        <v>Medium Risk</v>
      </c>
      <c r="S82" s="78" t="str">
        <f aca="false">IF(R82="High Risk","Treatment",IF(R82="Medium Risk","Treatment","Tolerate"))</f>
        <v>Treatment</v>
      </c>
    </row>
    <row r="83" customFormat="false" ht="131.3" hidden="false" customHeight="false" outlineLevel="0" collapsed="false">
      <c r="J83" s="74" t="n">
        <v>3</v>
      </c>
      <c r="K83" s="74" t="n">
        <v>3</v>
      </c>
      <c r="L83" s="75" t="n">
        <f aca="false">J83*K83</f>
        <v>9</v>
      </c>
      <c r="N83" s="76" t="s">
        <v>361</v>
      </c>
      <c r="O83" s="77" t="n">
        <f aca="false">IF(N83="very good", 0.2, IF(N83="good", 0.4, IF(N83="Satisfactory", 0.6, IF(N83="weak", 0.8, IF(N83="non existent", 1)))))</f>
        <v>0.6</v>
      </c>
      <c r="P83" s="74" t="n">
        <f aca="false">L83*O83</f>
        <v>5.4</v>
      </c>
      <c r="Q83" s="78" t="str">
        <f aca="false">IF(P83&lt;=4,"Acceptable ",IF(P83&lt;=14,"Moderalety Acceptable","Unacceptable"))</f>
        <v>Moderalety Acceptable</v>
      </c>
      <c r="R83" s="78" t="str">
        <f aca="false">IF(P83&lt;=4,"Low Risk",IF(P83&lt;=14,"Medium Risk","High Risk"))</f>
        <v>Medium Risk</v>
      </c>
      <c r="S83" s="78" t="str">
        <f aca="false">IF(R83="High Risk","Treatment",IF(R83="Medium Risk","Treatment","Tolerate"))</f>
        <v>Treatment</v>
      </c>
    </row>
  </sheetData>
  <autoFilter ref="A1:X83"/>
  <conditionalFormatting sqref="L22:M27">
    <cfRule type="cellIs" priority="2" operator="between" aboveAverage="0" equalAverage="0" bottom="0" percent="0" rank="0" text="" dxfId="28">
      <formula>1</formula>
      <formula>4</formula>
    </cfRule>
    <cfRule type="cellIs" priority="3" operator="between" aboveAverage="0" equalAverage="0" bottom="0" percent="0" rank="0" text="" dxfId="29">
      <formula>5</formula>
      <formula>14</formula>
    </cfRule>
    <cfRule type="cellIs" priority="4" operator="between" aboveAverage="0" equalAverage="0" bottom="0" percent="0" rank="0" text="" dxfId="30">
      <formula>15</formula>
      <formula>25</formula>
    </cfRule>
  </conditionalFormatting>
  <conditionalFormatting sqref="P2:P83">
    <cfRule type="cellIs" priority="5" operator="between" aboveAverage="0" equalAverage="0" bottom="0" percent="0" rank="0" text="" dxfId="31">
      <formula>1</formula>
      <formula>4</formula>
    </cfRule>
    <cfRule type="cellIs" priority="6" operator="between" aboveAverage="0" equalAverage="0" bottom="0" percent="0" rank="0" text="" dxfId="32">
      <formula>5</formula>
      <formula>14</formula>
    </cfRule>
    <cfRule type="cellIs" priority="7" operator="between" aboveAverage="0" equalAverage="0" bottom="0" percent="0" rank="0" text="" dxfId="33">
      <formula>15</formula>
      <formula>25</formula>
    </cfRule>
  </conditionalFormatting>
  <conditionalFormatting sqref="L21">
    <cfRule type="cellIs" priority="8" operator="between" aboveAverage="0" equalAverage="0" bottom="0" percent="0" rank="0" text="" dxfId="34">
      <formula>1</formula>
      <formula>4</formula>
    </cfRule>
    <cfRule type="cellIs" priority="9" operator="between" aboveAverage="0" equalAverage="0" bottom="0" percent="0" rank="0" text="" dxfId="35">
      <formula>5</formula>
      <formula>14</formula>
    </cfRule>
    <cfRule type="cellIs" priority="10" operator="between" aboveAverage="0" equalAverage="0" bottom="0" percent="0" rank="0" text="" dxfId="36">
      <formula>15</formula>
      <formula>25</formula>
    </cfRule>
  </conditionalFormatting>
  <conditionalFormatting sqref="L17:M20">
    <cfRule type="cellIs" priority="11" operator="between" aboveAverage="0" equalAverage="0" bottom="0" percent="0" rank="0" text="" dxfId="37">
      <formula>1</formula>
      <formula>4</formula>
    </cfRule>
    <cfRule type="cellIs" priority="12" operator="between" aboveAverage="0" equalAverage="0" bottom="0" percent="0" rank="0" text="" dxfId="38">
      <formula>5</formula>
      <formula>14</formula>
    </cfRule>
    <cfRule type="cellIs" priority="13" operator="between" aboveAverage="0" equalAverage="0" bottom="0" percent="0" rank="0" text="" dxfId="39">
      <formula>15</formula>
      <formula>25</formula>
    </cfRule>
  </conditionalFormatting>
  <conditionalFormatting sqref="F9:F10">
    <cfRule type="containsText" priority="14" operator="containsText" aboveAverage="0" equalAverage="0" bottom="0" percent="0" rank="0" text="Preventative" dxfId="40">
      <formula>NOT(ISERROR(SEARCH("Preventative",F9)))</formula>
    </cfRule>
    <cfRule type="containsText" priority="15" operator="containsText" aboveAverage="0" equalAverage="0" bottom="0" percent="0" rank="0" text="Preventative" dxfId="41">
      <formula>NOT(ISERROR(SEARCH("Preventative",F9)))</formula>
    </cfRule>
    <cfRule type="containsText" priority="16" operator="containsText" aboveAverage="0" equalAverage="0" bottom="0" percent="0" rank="0" text="Preventative (P)" dxfId="42">
      <formula>NOT(ISERROR(SEARCH("Preventative (P)",F9)))</formula>
    </cfRule>
  </conditionalFormatting>
  <conditionalFormatting sqref="L5:L6">
    <cfRule type="cellIs" priority="17" operator="between" aboveAverage="0" equalAverage="0" bottom="0" percent="0" rank="0" text="" dxfId="43">
      <formula>1</formula>
      <formula>4</formula>
    </cfRule>
    <cfRule type="cellIs" priority="18" operator="between" aboveAverage="0" equalAverage="0" bottom="0" percent="0" rank="0" text="" dxfId="44">
      <formula>5</formula>
      <formula>14</formula>
    </cfRule>
    <cfRule type="cellIs" priority="19" operator="between" aboveAverage="0" equalAverage="0" bottom="0" percent="0" rank="0" text="" dxfId="45">
      <formula>15</formula>
      <formula>25</formula>
    </cfRule>
  </conditionalFormatting>
  <conditionalFormatting sqref="M5">
    <cfRule type="cellIs" priority="20" operator="between" aboveAverage="0" equalAverage="0" bottom="0" percent="0" rank="0" text="" dxfId="46">
      <formula>1</formula>
      <formula>4</formula>
    </cfRule>
    <cfRule type="cellIs" priority="21" operator="between" aboveAverage="0" equalAverage="0" bottom="0" percent="0" rank="0" text="" dxfId="47">
      <formula>5</formula>
      <formula>14</formula>
    </cfRule>
    <cfRule type="cellIs" priority="22" operator="between" aboveAverage="0" equalAverage="0" bottom="0" percent="0" rank="0" text="" dxfId="48">
      <formula>15</formula>
      <formula>25</formula>
    </cfRule>
  </conditionalFormatting>
  <conditionalFormatting sqref="L2:M4">
    <cfRule type="cellIs" priority="23" operator="between" aboveAverage="0" equalAverage="0" bottom="0" percent="0" rank="0" text="" dxfId="49">
      <formula>1</formula>
      <formula>4</formula>
    </cfRule>
    <cfRule type="cellIs" priority="24" operator="between" aboveAverage="0" equalAverage="0" bottom="0" percent="0" rank="0" text="" dxfId="50">
      <formula>5</formula>
      <formula>14</formula>
    </cfRule>
    <cfRule type="cellIs" priority="25" operator="between" aboveAverage="0" equalAverage="0" bottom="0" percent="0" rank="0" text="" dxfId="51">
      <formula>15</formula>
      <formula>25</formula>
    </cfRule>
  </conditionalFormatting>
  <conditionalFormatting sqref="L7:M12">
    <cfRule type="cellIs" priority="26" operator="between" aboveAverage="0" equalAverage="0" bottom="0" percent="0" rank="0" text="" dxfId="52">
      <formula>1</formula>
      <formula>4</formula>
    </cfRule>
    <cfRule type="cellIs" priority="27" operator="between" aboveAverage="0" equalAverage="0" bottom="0" percent="0" rank="0" text="" dxfId="53">
      <formula>5</formula>
      <formula>14</formula>
    </cfRule>
    <cfRule type="cellIs" priority="28" operator="between" aboveAverage="0" equalAverage="0" bottom="0" percent="0" rank="0" text="" dxfId="54">
      <formula>15</formula>
      <formula>25</formula>
    </cfRule>
  </conditionalFormatting>
  <conditionalFormatting sqref="M13">
    <cfRule type="cellIs" priority="29" operator="between" aboveAverage="0" equalAverage="0" bottom="0" percent="0" rank="0" text="" dxfId="55">
      <formula>1</formula>
      <formula>4</formula>
    </cfRule>
    <cfRule type="cellIs" priority="30" operator="between" aboveAverage="0" equalAverage="0" bottom="0" percent="0" rank="0" text="" dxfId="56">
      <formula>5</formula>
      <formula>14</formula>
    </cfRule>
    <cfRule type="cellIs" priority="31" operator="between" aboveAverage="0" equalAverage="0" bottom="0" percent="0" rank="0" text="" dxfId="57">
      <formula>15</formula>
      <formula>25</formula>
    </cfRule>
  </conditionalFormatting>
  <conditionalFormatting sqref="G9 F18:F19 F22">
    <cfRule type="containsText" priority="32" operator="containsText" aboveAverage="0" equalAverage="0" bottom="0" percent="0" rank="0" text="Preventative" dxfId="58">
      <formula>NOT(ISERROR(SEARCH("Preventative",F9)))</formula>
    </cfRule>
    <cfRule type="containsText" priority="33" operator="containsText" aboveAverage="0" equalAverage="0" bottom="0" percent="0" rank="0" text="Preventative" dxfId="59">
      <formula>NOT(ISERROR(SEARCH("Preventative",F9)))</formula>
    </cfRule>
    <cfRule type="containsText" priority="34" operator="containsText" aboveAverage="0" equalAverage="0" bottom="0" percent="0" rank="0" text="Preventative (P)" dxfId="60">
      <formula>NOT(ISERROR(SEARCH("Preventative (P)",F9)))</formula>
    </cfRule>
  </conditionalFormatting>
  <conditionalFormatting sqref="P2">
    <cfRule type="cellIs" priority="35" operator="between" aboveAverage="0" equalAverage="0" bottom="0" percent="0" rank="0" text="" dxfId="61">
      <formula>1</formula>
      <formula>4</formula>
    </cfRule>
    <cfRule type="cellIs" priority="36" operator="between" aboveAverage="0" equalAverage="0" bottom="0" percent="0" rank="0" text="" dxfId="62">
      <formula>5</formula>
      <formula>14</formula>
    </cfRule>
    <cfRule type="cellIs" priority="37" operator="between" aboveAverage="0" equalAverage="0" bottom="0" percent="0" rank="0" text="" dxfId="63">
      <formula>15</formula>
      <formula>25</formula>
    </cfRule>
  </conditionalFormatting>
  <conditionalFormatting sqref="L13:L16 L28:L83">
    <cfRule type="cellIs" priority="38" operator="between" aboveAverage="0" equalAverage="0" bottom="0" percent="0" rank="0" text="" dxfId="64">
      <formula>1</formula>
      <formula>4</formula>
    </cfRule>
    <cfRule type="cellIs" priority="39" operator="between" aboveAverage="0" equalAverage="0" bottom="0" percent="0" rank="0" text="" dxfId="65">
      <formula>5</formula>
      <formula>14</formula>
    </cfRule>
    <cfRule type="cellIs" priority="40" operator="between" aboveAverage="0" equalAverage="0" bottom="0" percent="0" rank="0" text="" dxfId="66">
      <formula>15</formula>
      <formula>25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true"/>
  </sheetPr>
  <dimension ref="A5:U21"/>
  <sheetViews>
    <sheetView showFormulas="false" showGridLines="true" showRowColHeaders="true" showZeros="true" rightToLeft="false" tabSelected="false" showOutlineSymbols="true" defaultGridColor="true" view="normal" topLeftCell="G9" colorId="64" zoomScale="95" zoomScaleNormal="95" zoomScalePageLayoutView="100" workbookViewId="0">
      <pane xSplit="0" ySplit="1" topLeftCell="A12" activePane="bottomLeft" state="frozen"/>
      <selection pane="topLeft" activeCell="G9" activeCellId="0" sqref="G9"/>
      <selection pane="bottomLeft" activeCell="S13" activeCellId="0" sqref="S13"/>
    </sheetView>
  </sheetViews>
  <sheetFormatPr defaultColWidth="30.00390625" defaultRowHeight="15" zeroHeight="false" outlineLevelRow="0" outlineLevelCol="0"/>
  <cols>
    <col collapsed="false" customWidth="true" hidden="false" outlineLevel="0" max="1" min="1" style="1" width="15"/>
    <col collapsed="false" customWidth="true" hidden="false" outlineLevel="0" max="2" min="2" style="2" width="15.71"/>
    <col collapsed="false" customWidth="true" hidden="false" outlineLevel="0" max="3" min="3" style="2" width="17.57"/>
    <col collapsed="false" customWidth="true" hidden="false" outlineLevel="0" max="4" min="4" style="1" width="16"/>
    <col collapsed="false" customWidth="true" hidden="false" outlineLevel="0" max="5" min="5" style="1" width="23.29"/>
    <col collapsed="false" customWidth="true" hidden="false" outlineLevel="0" max="6" min="6" style="1" width="32.86"/>
    <col collapsed="false" customWidth="true" hidden="false" outlineLevel="0" max="7" min="7" style="1" width="29"/>
    <col collapsed="false" customWidth="true" hidden="false" outlineLevel="0" max="8" min="8" style="1" width="7.86"/>
    <col collapsed="false" customWidth="true" hidden="false" outlineLevel="0" max="9" min="9" style="1" width="9.14"/>
    <col collapsed="false" customWidth="true" hidden="false" outlineLevel="0" max="10" min="10" style="1" width="10.71"/>
    <col collapsed="false" customWidth="true" hidden="false" outlineLevel="0" max="11" min="11" style="1" width="36.71"/>
    <col collapsed="false" customWidth="true" hidden="false" outlineLevel="0" max="12" min="12" style="1" width="7.86"/>
    <col collapsed="false" customWidth="true" hidden="false" outlineLevel="0" max="13" min="13" style="1" width="8.42"/>
    <col collapsed="false" customWidth="true" hidden="false" outlineLevel="0" max="14" min="14" style="1" width="10"/>
    <col collapsed="false" customWidth="true" hidden="false" outlineLevel="0" max="15" min="15" style="1" width="6"/>
    <col collapsed="false" customWidth="true" hidden="false" outlineLevel="0" max="16" min="16" style="1" width="6.29"/>
    <col collapsed="false" customWidth="true" hidden="false" outlineLevel="0" max="17" min="17" style="1" width="6.43"/>
    <col collapsed="false" customWidth="true" hidden="false" outlineLevel="0" max="18" min="18" style="1" width="16.57"/>
    <col collapsed="false" customWidth="true" hidden="false" outlineLevel="0" max="19" min="19" style="1" width="43.71"/>
    <col collapsed="false" customWidth="true" hidden="false" outlineLevel="0" max="20" min="20" style="1" width="18.29"/>
    <col collapsed="false" customWidth="true" hidden="false" outlineLevel="0" max="21" min="21" style="1" width="15.85"/>
    <col collapsed="false" customWidth="false" hidden="false" outlineLevel="0" max="16384" min="22" style="1" width="30"/>
  </cols>
  <sheetData>
    <row r="5" customFormat="false" ht="15" hidden="false" customHeight="false" outlineLevel="0" collapsed="false">
      <c r="B5" s="3" t="s">
        <v>917</v>
      </c>
      <c r="C5" s="3"/>
      <c r="D5" s="4"/>
      <c r="E5" s="5"/>
      <c r="H5" s="6"/>
    </row>
    <row r="6" customFormat="false" ht="13.5" hidden="false" customHeight="true" outlineLevel="0" collapsed="false"/>
    <row r="7" customFormat="false" ht="13.5" hidden="false" customHeight="true" outlineLevel="0" collapsed="false"/>
    <row r="8" customFormat="false" ht="13.5" hidden="false" customHeight="true" outlineLevel="0" collapsed="false">
      <c r="U8" s="7"/>
    </row>
    <row r="9" s="15" customFormat="true" ht="59.25" hidden="false" customHeight="true" outlineLevel="0" collapsed="false">
      <c r="A9" s="8" t="s">
        <v>1</v>
      </c>
      <c r="B9" s="8" t="s">
        <v>2</v>
      </c>
      <c r="C9" s="8" t="s">
        <v>3</v>
      </c>
      <c r="D9" s="8" t="s">
        <v>4</v>
      </c>
      <c r="E9" s="8" t="s">
        <v>5</v>
      </c>
      <c r="F9" s="9" t="s">
        <v>6</v>
      </c>
      <c r="G9" s="10" t="s">
        <v>7</v>
      </c>
      <c r="H9" s="11" t="s">
        <v>8</v>
      </c>
      <c r="I9" s="11" t="s">
        <v>9</v>
      </c>
      <c r="J9" s="8" t="s">
        <v>10</v>
      </c>
      <c r="K9" s="8" t="s">
        <v>11</v>
      </c>
      <c r="L9" s="12" t="s">
        <v>12</v>
      </c>
      <c r="M9" s="12" t="s">
        <v>13</v>
      </c>
      <c r="N9" s="8" t="s">
        <v>14</v>
      </c>
      <c r="O9" s="11" t="s">
        <v>15</v>
      </c>
      <c r="P9" s="12" t="s">
        <v>16</v>
      </c>
      <c r="Q9" s="12" t="s">
        <v>17</v>
      </c>
      <c r="R9" s="8" t="s">
        <v>18</v>
      </c>
      <c r="S9" s="8" t="s">
        <v>19</v>
      </c>
      <c r="T9" s="13" t="s">
        <v>20</v>
      </c>
      <c r="U9" s="14" t="s">
        <v>21</v>
      </c>
    </row>
    <row r="10" s="26" customFormat="true" ht="162" hidden="false" customHeight="true" outlineLevel="0" collapsed="false">
      <c r="A10" s="16" t="s">
        <v>62</v>
      </c>
      <c r="B10" s="17" t="s">
        <v>918</v>
      </c>
      <c r="C10" s="17"/>
      <c r="D10" s="16" t="s">
        <v>65</v>
      </c>
      <c r="E10" s="18" t="s">
        <v>919</v>
      </c>
      <c r="F10" s="18" t="s">
        <v>920</v>
      </c>
      <c r="G10" s="18" t="s">
        <v>921</v>
      </c>
      <c r="H10" s="17" t="n">
        <v>5</v>
      </c>
      <c r="I10" s="17" t="n">
        <v>5</v>
      </c>
      <c r="J10" s="19" t="n">
        <f aca="false">H10*I10</f>
        <v>25</v>
      </c>
      <c r="K10" s="18" t="s">
        <v>922</v>
      </c>
      <c r="L10" s="20" t="s">
        <v>30</v>
      </c>
      <c r="M10" s="21" t="n">
        <f aca="false">IF(L10="very good", 0.2, IF(L10="good", 0.4, IF(L10="Satisfactory", 0.6, IF(L10="weak", 0.8, IF(L10="non existent", 1)))))</f>
        <v>0.6</v>
      </c>
      <c r="N10" s="22" t="n">
        <f aca="false">J10*M10</f>
        <v>15</v>
      </c>
      <c r="O10" s="23" t="str">
        <f aca="false">IF(N10&lt;=4,"Acceptable ",IF(N10&lt;=14,"Moderalety Acceptable","Unacceptable"))</f>
        <v>Unacceptable</v>
      </c>
      <c r="P10" s="23" t="str">
        <f aca="false">IF(N10&lt;=4,"Low Risk",IF(N10&lt;=14,"Medium Risk","High Risk"))</f>
        <v>High Risk</v>
      </c>
      <c r="Q10" s="23" t="str">
        <f aca="false">IF(P10="High Risk","Treatment",IF(P10="Medium Risk","Treatment","Tolerate"))</f>
        <v>Treatment</v>
      </c>
      <c r="R10" s="18" t="s">
        <v>923</v>
      </c>
      <c r="S10" s="24" t="s">
        <v>924</v>
      </c>
      <c r="T10" s="25"/>
      <c r="U10" s="24"/>
    </row>
    <row r="11" s="26" customFormat="true" ht="409.5" hidden="false" customHeight="true" outlineLevel="0" collapsed="false">
      <c r="A11" s="16" t="s">
        <v>62</v>
      </c>
      <c r="B11" s="27" t="s">
        <v>925</v>
      </c>
      <c r="C11" s="17" t="s">
        <v>926</v>
      </c>
      <c r="D11" s="16" t="s">
        <v>65</v>
      </c>
      <c r="E11" s="18" t="s">
        <v>927</v>
      </c>
      <c r="F11" s="18"/>
      <c r="G11" s="18" t="s">
        <v>928</v>
      </c>
      <c r="H11" s="27" t="n">
        <v>5</v>
      </c>
      <c r="I11" s="27" t="n">
        <v>5</v>
      </c>
      <c r="J11" s="19" t="n">
        <f aca="false">H11*I11</f>
        <v>25</v>
      </c>
      <c r="K11" s="18"/>
      <c r="L11" s="20" t="s">
        <v>40</v>
      </c>
      <c r="M11" s="21" t="n">
        <f aca="false">IF(L11="very good", 0.2, IF(L11="good", 0.4, IF(L11="Satisfactory", 0.6, IF(L11="weak", 0.8, IF(L11="non existent", 1)))))</f>
        <v>0.2</v>
      </c>
      <c r="N11" s="22" t="n">
        <f aca="false">J11*M11</f>
        <v>5</v>
      </c>
      <c r="O11" s="23" t="str">
        <f aca="false">IF(N11&lt;=4,"Acceptable ",IF(N11&lt;=14,"Moderalety Acceptable","Unacceptable"))</f>
        <v>Moderalety Acceptable</v>
      </c>
      <c r="P11" s="23" t="str">
        <f aca="false">IF(N11&lt;=4,"Low Risk",IF(N11&lt;=14,"Medium Risk","High Risk"))</f>
        <v>Medium Risk</v>
      </c>
      <c r="Q11" s="23" t="str">
        <f aca="false">IF(P11="High Risk","Treatment",IF(P11="Medium Risk","Treatment","Tolerate"))</f>
        <v>Treatment</v>
      </c>
      <c r="R11" s="18" t="s">
        <v>929</v>
      </c>
      <c r="S11" s="18"/>
      <c r="T11" s="25"/>
      <c r="U11" s="18"/>
    </row>
    <row r="12" s="26" customFormat="true" ht="186" hidden="false" customHeight="true" outlineLevel="0" collapsed="false">
      <c r="A12" s="16" t="s">
        <v>62</v>
      </c>
      <c r="B12" s="27" t="s">
        <v>930</v>
      </c>
      <c r="C12" s="17" t="s">
        <v>926</v>
      </c>
      <c r="D12" s="16" t="s">
        <v>65</v>
      </c>
      <c r="E12" s="18" t="s">
        <v>931</v>
      </c>
      <c r="F12" s="18" t="s">
        <v>932</v>
      </c>
      <c r="G12" s="194" t="s">
        <v>933</v>
      </c>
      <c r="H12" s="27" t="n">
        <v>5</v>
      </c>
      <c r="I12" s="27" t="n">
        <v>5</v>
      </c>
      <c r="J12" s="19" t="n">
        <f aca="false">H12*I12</f>
        <v>25</v>
      </c>
      <c r="K12" s="18"/>
      <c r="L12" s="20" t="s">
        <v>50</v>
      </c>
      <c r="M12" s="21" t="n">
        <f aca="false">IF(L12="very good", 0.2, IF(L12="good", 0.4, IF(L12="Satisfactory", 0.6, IF(L12="weak", 0.8, IF(L12="non existent", 1)))))</f>
        <v>0.4</v>
      </c>
      <c r="N12" s="22" t="n">
        <f aca="false">J12*M12</f>
        <v>10</v>
      </c>
      <c r="O12" s="23" t="str">
        <f aca="false">IF(N12&lt;=4,"Acceptable ",IF(N12&lt;=14,"Moderalety Acceptable","Unacceptable"))</f>
        <v>Moderalety Acceptable</v>
      </c>
      <c r="P12" s="23" t="str">
        <f aca="false">IF(N12&lt;=4,"Low Risk",IF(N12&lt;=14,"Medium Risk","High Risk"))</f>
        <v>Medium Risk</v>
      </c>
      <c r="Q12" s="23" t="str">
        <f aca="false">IF(P12="High Risk","Treatment",IF(P12="Medium Risk","Treatment","Tolerate"))</f>
        <v>Treatment</v>
      </c>
      <c r="R12" s="18" t="s">
        <v>934</v>
      </c>
      <c r="S12" s="18"/>
      <c r="T12" s="25"/>
      <c r="U12" s="18"/>
    </row>
    <row r="13" s="26" customFormat="true" ht="168" hidden="false" customHeight="true" outlineLevel="0" collapsed="false">
      <c r="A13" s="16" t="s">
        <v>62</v>
      </c>
      <c r="B13" s="27" t="s">
        <v>935</v>
      </c>
      <c r="C13" s="17" t="s">
        <v>289</v>
      </c>
      <c r="D13" s="16" t="s">
        <v>218</v>
      </c>
      <c r="E13" s="18" t="s">
        <v>936</v>
      </c>
      <c r="F13" s="29" t="s">
        <v>937</v>
      </c>
      <c r="G13" s="29" t="s">
        <v>938</v>
      </c>
      <c r="H13" s="17" t="n">
        <v>5</v>
      </c>
      <c r="I13" s="17" t="n">
        <v>5</v>
      </c>
      <c r="J13" s="19" t="n">
        <f aca="false">H13*I13</f>
        <v>25</v>
      </c>
      <c r="K13" s="18"/>
      <c r="L13" s="20" t="s">
        <v>30</v>
      </c>
      <c r="M13" s="21" t="n">
        <f aca="false">IF(L13="very good", 0.2, IF(L13="good", 0.4, IF(L13="Satisfactory", 0.6, IF(L13="weak", 0.8, IF(L13="non existent", 1)))))</f>
        <v>0.6</v>
      </c>
      <c r="N13" s="22" t="n">
        <f aca="false">J13*M13</f>
        <v>15</v>
      </c>
      <c r="O13" s="23" t="str">
        <f aca="false">IF(N13&lt;=4,"Acceptable ",IF(N13&lt;=14,"Moderalety Acceptable","Unacceptable"))</f>
        <v>Unacceptable</v>
      </c>
      <c r="P13" s="23" t="str">
        <f aca="false">IF(N13&lt;=4,"Low Risk",IF(N13&lt;=14,"Medium Risk","High Risk"))</f>
        <v>High Risk</v>
      </c>
      <c r="Q13" s="23" t="str">
        <f aca="false">IF(P13="High Risk","Treatment",IF(P13="Medium Risk","Treatment","Tolerate"))</f>
        <v>Treatment</v>
      </c>
      <c r="R13" s="18" t="s">
        <v>929</v>
      </c>
      <c r="S13" s="24" t="s">
        <v>939</v>
      </c>
      <c r="T13" s="25"/>
      <c r="U13" s="30"/>
    </row>
    <row r="14" customFormat="false" ht="483.55" hidden="false" customHeight="false" outlineLevel="0" collapsed="false">
      <c r="A14" s="16" t="s">
        <v>22</v>
      </c>
      <c r="B14" s="195" t="s">
        <v>940</v>
      </c>
      <c r="C14" s="17" t="s">
        <v>24</v>
      </c>
      <c r="D14" s="16" t="s">
        <v>25</v>
      </c>
      <c r="E14" s="125" t="s">
        <v>941</v>
      </c>
      <c r="F14" s="125" t="s">
        <v>942</v>
      </c>
      <c r="G14" s="196" t="s">
        <v>943</v>
      </c>
      <c r="H14" s="197" t="n">
        <v>4</v>
      </c>
      <c r="I14" s="197" t="n">
        <v>5</v>
      </c>
      <c r="J14" s="19" t="n">
        <f aca="false">H14*I14</f>
        <v>20</v>
      </c>
      <c r="K14" s="125" t="s">
        <v>944</v>
      </c>
      <c r="L14" s="198" t="s">
        <v>30</v>
      </c>
      <c r="M14" s="21" t="n">
        <f aca="false">IF(L14="very good", 0.2, IF(L14="good", 0.4, IF(L14="Satisfactory", 0.6, IF(L14="weak", 0.8, IF(L14="non existent", 1)))))</f>
        <v>0.6</v>
      </c>
      <c r="N14" s="22" t="n">
        <f aca="false">J14*M14</f>
        <v>12</v>
      </c>
      <c r="O14" s="31" t="str">
        <f aca="false">IF(N14&lt;=4,"Acceptable ",IF(N14&lt;=14,"Moderalety Acceptable","Unacceptable"))</f>
        <v>Moderalety Acceptable</v>
      </c>
      <c r="P14" s="31" t="str">
        <f aca="false">IF(N14&lt;=4,"Low Risk",IF(N14&lt;=14,"Medium Risk","High Risk"))</f>
        <v>Medium Risk</v>
      </c>
      <c r="Q14" s="31" t="str">
        <f aca="false">IF(P14="High Risk","Treatment",IF(P14="Medium Risk","Treatment","Tolerate"))</f>
        <v>Treatment</v>
      </c>
      <c r="R14" s="18" t="s">
        <v>41</v>
      </c>
      <c r="S14" s="125" t="s">
        <v>945</v>
      </c>
      <c r="T14" s="199" t="s">
        <v>946</v>
      </c>
      <c r="U14" s="199" t="s">
        <v>947</v>
      </c>
    </row>
    <row r="15" customFormat="false" ht="136.5" hidden="false" customHeight="true" outlineLevel="0" collapsed="false">
      <c r="A15" s="16"/>
      <c r="B15" s="27"/>
      <c r="C15" s="17"/>
      <c r="D15" s="16"/>
      <c r="E15" s="18"/>
      <c r="F15" s="29"/>
      <c r="G15" s="29"/>
      <c r="H15" s="17" t="n">
        <v>5</v>
      </c>
      <c r="I15" s="17" t="n">
        <v>5</v>
      </c>
      <c r="J15" s="19" t="n">
        <f aca="false">H15*I15</f>
        <v>25</v>
      </c>
      <c r="K15" s="18"/>
      <c r="L15" s="31" t="s">
        <v>87</v>
      </c>
      <c r="M15" s="21" t="n">
        <f aca="false">IF(L15="very good", 0.2, IF(L15="good", 0.4, IF(L15="Satisfactory", 0.6, IF(L15="weak", 0.8, IF(L15="non existent", 1)))))</f>
        <v>0.8</v>
      </c>
      <c r="N15" s="22" t="n">
        <f aca="false">J15*M15</f>
        <v>20</v>
      </c>
      <c r="O15" s="31" t="str">
        <f aca="false">IF(N15&lt;=4,"Acceptable ",IF(N15&lt;=14,"Moderalety Acceptable","Unacceptable"))</f>
        <v>Unacceptable</v>
      </c>
      <c r="P15" s="31" t="str">
        <f aca="false">IF(N15&lt;=4,"Low Risk",IF(N15&lt;=14,"Medium Risk","High Risk"))</f>
        <v>High Risk</v>
      </c>
      <c r="Q15" s="31" t="str">
        <f aca="false">IF(P15="High Risk","Treatment",IF(P15="Medium Risk","Treatment","Tolerate"))</f>
        <v>Treatment</v>
      </c>
      <c r="R15" s="18" t="s">
        <v>929</v>
      </c>
      <c r="S15" s="18"/>
      <c r="T15" s="32"/>
      <c r="U15" s="18"/>
    </row>
    <row r="16" customFormat="false" ht="183.75" hidden="false" customHeight="true" outlineLevel="0" collapsed="false">
      <c r="A16" s="16"/>
      <c r="B16" s="27"/>
      <c r="C16" s="17"/>
      <c r="D16" s="16"/>
      <c r="E16" s="24"/>
      <c r="F16" s="29"/>
      <c r="G16" s="29"/>
      <c r="H16" s="17" t="n">
        <v>5</v>
      </c>
      <c r="I16" s="17" t="n">
        <v>5</v>
      </c>
      <c r="J16" s="19" t="n">
        <f aca="false">H16*I16</f>
        <v>25</v>
      </c>
      <c r="K16" s="24"/>
      <c r="L16" s="31" t="s">
        <v>50</v>
      </c>
      <c r="M16" s="21" t="n">
        <f aca="false">IF(L16="very good", 0.2, IF(L16="good", 0.4, IF(L16="Satisfactory", 0.6, IF(L16="weak", 0.8, IF(L16="non existent", 1)))))</f>
        <v>0.4</v>
      </c>
      <c r="N16" s="22" t="n">
        <f aca="false">J16*M16</f>
        <v>10</v>
      </c>
      <c r="O16" s="31" t="str">
        <f aca="false">IF(N16&lt;=4,"Acceptable ",IF(N16&lt;=14,"Moderalety Acceptable","Unacceptable"))</f>
        <v>Moderalety Acceptable</v>
      </c>
      <c r="P16" s="31" t="str">
        <f aca="false">IF(N16&lt;=4,"Low Risk",IF(N16&lt;=14,"Medium Risk","High Risk"))</f>
        <v>Medium Risk</v>
      </c>
      <c r="Q16" s="31" t="str">
        <f aca="false">IF(P16="High Risk","Treatment",IF(P16="Medium Risk","Treatment","Tolerate"))</f>
        <v>Treatment</v>
      </c>
      <c r="R16" s="18" t="s">
        <v>948</v>
      </c>
      <c r="S16" s="24"/>
      <c r="T16" s="32"/>
      <c r="U16" s="24"/>
    </row>
    <row r="17" customFormat="false" ht="47.25" hidden="false" customHeight="true" outlineLevel="0" collapsed="false">
      <c r="A17" s="54" t="s">
        <v>346</v>
      </c>
      <c r="B17" s="55"/>
      <c r="C17" s="56"/>
      <c r="N17" s="57"/>
    </row>
    <row r="18" customFormat="false" ht="17.35" hidden="false" customHeight="false" outlineLevel="0" collapsed="false">
      <c r="A18" s="54"/>
      <c r="B18" s="55"/>
      <c r="C18" s="56"/>
      <c r="N18" s="57"/>
    </row>
    <row r="19" customFormat="false" ht="17.35" hidden="false" customHeight="false" outlineLevel="0" collapsed="false">
      <c r="A19" s="54" t="s">
        <v>347</v>
      </c>
      <c r="B19" s="55"/>
      <c r="C19" s="56"/>
    </row>
    <row r="20" customFormat="false" ht="17.35" hidden="false" customHeight="false" outlineLevel="0" collapsed="false">
      <c r="B20" s="58"/>
      <c r="C20" s="56"/>
    </row>
    <row r="21" customFormat="false" ht="15" hidden="false" customHeight="false" outlineLevel="0" collapsed="false">
      <c r="A21" s="59"/>
      <c r="B21" s="59"/>
    </row>
  </sheetData>
  <conditionalFormatting sqref="J10:J16 N10:N16">
    <cfRule type="cellIs" priority="2" operator="between" aboveAverage="0" equalAverage="0" bottom="0" percent="0" rank="0" text="" dxfId="67">
      <formula>1</formula>
      <formula>4</formula>
    </cfRule>
    <cfRule type="cellIs" priority="3" operator="between" aboveAverage="0" equalAverage="0" bottom="0" percent="0" rank="0" text="" dxfId="68">
      <formula>5</formula>
      <formula>14</formula>
    </cfRule>
    <cfRule type="cellIs" priority="4" operator="between" aboveAverage="0" equalAverage="0" bottom="0" percent="0" rank="0" text="" dxfId="69">
      <formula>15</formula>
      <formula>25</formula>
    </cfRule>
  </conditionalFormatting>
  <conditionalFormatting sqref="N17:N18">
    <cfRule type="cellIs" priority="5" operator="between" aboveAverage="0" equalAverage="0" bottom="0" percent="0" rank="0" text="" dxfId="70">
      <formula>1</formula>
      <formula>4</formula>
    </cfRule>
    <cfRule type="cellIs" priority="6" operator="between" aboveAverage="0" equalAverage="0" bottom="0" percent="0" rank="0" text="" dxfId="71">
      <formula>5</formula>
      <formula>14</formula>
    </cfRule>
    <cfRule type="cellIs" priority="7" operator="between" aboveAverage="0" equalAverage="0" bottom="0" percent="0" rank="0" text="" dxfId="72">
      <formula>15</formula>
      <formula>25</formula>
    </cfRule>
  </conditionalFormatting>
  <dataValidations count="3">
    <dataValidation allowBlank="true" errorStyle="stop" operator="between" showDropDown="false" showErrorMessage="true" showInputMessage="true" sqref="M10:M14" type="list">
      <formula1>0</formula1>
      <formula2>0</formula2>
    </dataValidation>
    <dataValidation allowBlank="true" errorStyle="stop" operator="between" showDropDown="false" showErrorMessage="true" showInputMessage="true" sqref="D10:D13 D15:D16" type="list">
      <formula1>Tolerance!$B$35:$B$55</formula1>
      <formula2>0</formula2>
    </dataValidation>
    <dataValidation allowBlank="true" errorStyle="stop" operator="between" showDropDown="false" showErrorMessage="true" showInputMessage="true" sqref="L10:L13" type="list">
      <formula1>Tolerance!$F$29:$F$33</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1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C48" activeCellId="0" sqref="C48"/>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7.86"/>
    <col collapsed="false" customWidth="true" hidden="false" outlineLevel="0" max="3" min="3" style="0" width="56.42"/>
  </cols>
  <sheetData>
    <row r="1" customFormat="false" ht="15" hidden="false" customHeight="true" outlineLevel="0" collapsed="false">
      <c r="A1" s="200" t="s">
        <v>949</v>
      </c>
      <c r="B1" s="200"/>
      <c r="C1" s="200"/>
    </row>
    <row r="2" customFormat="false" ht="15" hidden="false" customHeight="false" outlineLevel="0" collapsed="false">
      <c r="A2" s="201" t="s">
        <v>950</v>
      </c>
      <c r="B2" s="202" t="s">
        <v>951</v>
      </c>
      <c r="C2" s="202" t="s">
        <v>952</v>
      </c>
    </row>
    <row r="3" customFormat="false" ht="23.85" hidden="false" customHeight="false" outlineLevel="0" collapsed="false">
      <c r="A3" s="203" t="n">
        <v>1</v>
      </c>
      <c r="B3" s="204" t="s">
        <v>953</v>
      </c>
      <c r="C3" s="204" t="s">
        <v>954</v>
      </c>
    </row>
    <row r="4" customFormat="false" ht="23.85" hidden="false" customHeight="false" outlineLevel="0" collapsed="false">
      <c r="A4" s="203" t="n">
        <v>2</v>
      </c>
      <c r="B4" s="204" t="s">
        <v>955</v>
      </c>
      <c r="C4" s="204" t="s">
        <v>956</v>
      </c>
    </row>
    <row r="5" customFormat="false" ht="23.85" hidden="false" customHeight="false" outlineLevel="0" collapsed="false">
      <c r="A5" s="203" t="n">
        <v>3</v>
      </c>
      <c r="B5" s="204" t="s">
        <v>957</v>
      </c>
      <c r="C5" s="204" t="s">
        <v>958</v>
      </c>
    </row>
    <row r="6" customFormat="false" ht="23.85" hidden="false" customHeight="false" outlineLevel="0" collapsed="false">
      <c r="A6" s="203" t="n">
        <v>4</v>
      </c>
      <c r="B6" s="204" t="s">
        <v>959</v>
      </c>
      <c r="C6" s="204" t="s">
        <v>960</v>
      </c>
    </row>
    <row r="7" customFormat="false" ht="23.85" hidden="false" customHeight="false" outlineLevel="0" collapsed="false">
      <c r="A7" s="203" t="n">
        <v>5</v>
      </c>
      <c r="B7" s="204" t="s">
        <v>961</v>
      </c>
      <c r="C7" s="204" t="s">
        <v>962</v>
      </c>
    </row>
    <row r="8" customFormat="false" ht="15" hidden="false" customHeight="false" outlineLevel="0" collapsed="false">
      <c r="A8" s="205"/>
      <c r="B8" s="205"/>
      <c r="C8" s="205"/>
    </row>
    <row r="9" customFormat="false" ht="15" hidden="false" customHeight="true" outlineLevel="0" collapsed="false">
      <c r="A9" s="200" t="s">
        <v>963</v>
      </c>
      <c r="B9" s="200"/>
      <c r="C9" s="200"/>
    </row>
    <row r="10" customFormat="false" ht="15" hidden="false" customHeight="false" outlineLevel="0" collapsed="false">
      <c r="A10" s="201" t="s">
        <v>950</v>
      </c>
      <c r="B10" s="202" t="s">
        <v>951</v>
      </c>
      <c r="C10" s="202" t="s">
        <v>952</v>
      </c>
    </row>
    <row r="11" customFormat="false" ht="23.85" hidden="false" customHeight="false" outlineLevel="0" collapsed="false">
      <c r="A11" s="203" t="n">
        <v>1</v>
      </c>
      <c r="B11" s="204" t="s">
        <v>964</v>
      </c>
      <c r="C11" s="204" t="s">
        <v>965</v>
      </c>
    </row>
    <row r="12" customFormat="false" ht="23.85" hidden="false" customHeight="false" outlineLevel="0" collapsed="false">
      <c r="A12" s="203" t="n">
        <v>2</v>
      </c>
      <c r="B12" s="204" t="s">
        <v>966</v>
      </c>
      <c r="C12" s="204" t="s">
        <v>967</v>
      </c>
    </row>
    <row r="13" customFormat="false" ht="23.85" hidden="false" customHeight="false" outlineLevel="0" collapsed="false">
      <c r="A13" s="203" t="n">
        <v>3</v>
      </c>
      <c r="B13" s="204" t="s">
        <v>957</v>
      </c>
      <c r="C13" s="204" t="s">
        <v>968</v>
      </c>
    </row>
    <row r="14" customFormat="false" ht="23.85" hidden="false" customHeight="false" outlineLevel="0" collapsed="false">
      <c r="A14" s="203" t="n">
        <v>4</v>
      </c>
      <c r="B14" s="204" t="s">
        <v>969</v>
      </c>
      <c r="C14" s="204" t="s">
        <v>970</v>
      </c>
    </row>
    <row r="15" customFormat="false" ht="15" hidden="false" customHeight="true" outlineLevel="0" collapsed="false">
      <c r="A15" s="206" t="n">
        <v>5</v>
      </c>
      <c r="B15" s="206" t="s">
        <v>971</v>
      </c>
      <c r="C15" s="206" t="s">
        <v>972</v>
      </c>
    </row>
    <row r="16" customFormat="false" ht="15.75" hidden="false" customHeight="false" outlineLevel="0" collapsed="false">
      <c r="A16" s="206"/>
      <c r="B16" s="206"/>
      <c r="C16" s="206"/>
    </row>
  </sheetData>
  <mergeCells count="5">
    <mergeCell ref="A1:C1"/>
    <mergeCell ref="A9:C9"/>
    <mergeCell ref="A15:A16"/>
    <mergeCell ref="B15:B16"/>
    <mergeCell ref="C15:C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C8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9.1484375" defaultRowHeight="15" zeroHeight="false" outlineLevelRow="0" outlineLevelCol="0"/>
  <cols>
    <col collapsed="false" customWidth="false" hidden="false" outlineLevel="0" max="1" min="1" style="207" width="9.14"/>
    <col collapsed="false" customWidth="true" hidden="false" outlineLevel="0" max="2" min="2" style="207" width="32.42"/>
    <col collapsed="false" customWidth="true" hidden="false" outlineLevel="0" max="3" min="3" style="207" width="58.42"/>
    <col collapsed="false" customWidth="false" hidden="false" outlineLevel="0" max="16384" min="4" style="207" width="9.14"/>
  </cols>
  <sheetData>
    <row r="1" customFormat="false" ht="15" hidden="false" customHeight="false" outlineLevel="0" collapsed="false">
      <c r="A1" s="208"/>
    </row>
    <row r="2" customFormat="false" ht="15" hidden="false" customHeight="false" outlineLevel="0" collapsed="false">
      <c r="A2" s="208"/>
    </row>
    <row r="4" customFormat="false" ht="15" hidden="false" customHeight="false" outlineLevel="0" collapsed="false">
      <c r="A4" s="209" t="s">
        <v>973</v>
      </c>
    </row>
    <row r="6" customFormat="false" ht="15" hidden="false" customHeight="false" outlineLevel="0" collapsed="false">
      <c r="A6" s="210"/>
      <c r="B6" s="211" t="s">
        <v>974</v>
      </c>
      <c r="C6" s="211" t="s">
        <v>975</v>
      </c>
    </row>
    <row r="7" customFormat="false" ht="39.55" hidden="false" customHeight="true" outlineLevel="0" collapsed="false">
      <c r="A7" s="210"/>
      <c r="B7" s="212" t="s">
        <v>976</v>
      </c>
      <c r="C7" s="213" t="s">
        <v>977</v>
      </c>
    </row>
    <row r="8" customFormat="false" ht="15" hidden="false" customHeight="false" outlineLevel="0" collapsed="false">
      <c r="A8" s="210"/>
      <c r="B8" s="212"/>
      <c r="C8" s="214" t="s">
        <v>978</v>
      </c>
    </row>
    <row r="9" customFormat="false" ht="15" hidden="false" customHeight="false" outlineLevel="0" collapsed="false">
      <c r="A9" s="210"/>
      <c r="B9" s="212"/>
      <c r="C9" s="214" t="s">
        <v>979</v>
      </c>
    </row>
    <row r="10" customFormat="false" ht="15" hidden="false" customHeight="false" outlineLevel="0" collapsed="false">
      <c r="A10" s="210"/>
      <c r="B10" s="212"/>
      <c r="C10" s="214" t="s">
        <v>980</v>
      </c>
    </row>
    <row r="11" customFormat="false" ht="15" hidden="false" customHeight="false" outlineLevel="0" collapsed="false">
      <c r="A11" s="210"/>
      <c r="B11" s="212"/>
      <c r="C11" s="214" t="s">
        <v>981</v>
      </c>
    </row>
    <row r="12" customFormat="false" ht="15" hidden="false" customHeight="false" outlineLevel="0" collapsed="false">
      <c r="A12" s="210"/>
      <c r="B12" s="212"/>
      <c r="C12" s="214" t="s">
        <v>982</v>
      </c>
    </row>
    <row r="13" customFormat="false" ht="15" hidden="false" customHeight="false" outlineLevel="0" collapsed="false">
      <c r="A13" s="210"/>
      <c r="B13" s="212"/>
      <c r="C13" s="214" t="s">
        <v>983</v>
      </c>
    </row>
    <row r="14" customFormat="false" ht="15" hidden="false" customHeight="false" outlineLevel="0" collapsed="false">
      <c r="A14" s="210"/>
      <c r="B14" s="212"/>
      <c r="C14" s="215" t="s">
        <v>984</v>
      </c>
    </row>
    <row r="15" customFormat="false" ht="39.55" hidden="false" customHeight="true" outlineLevel="0" collapsed="false">
      <c r="A15" s="210"/>
      <c r="B15" s="212" t="s">
        <v>985</v>
      </c>
      <c r="C15" s="213" t="s">
        <v>986</v>
      </c>
    </row>
    <row r="16" customFormat="false" ht="15" hidden="false" customHeight="false" outlineLevel="0" collapsed="false">
      <c r="A16" s="210"/>
      <c r="B16" s="212"/>
      <c r="C16" s="214" t="s">
        <v>987</v>
      </c>
    </row>
    <row r="17" customFormat="false" ht="15" hidden="false" customHeight="false" outlineLevel="0" collapsed="false">
      <c r="A17" s="210"/>
      <c r="B17" s="212"/>
      <c r="C17" s="214" t="s">
        <v>988</v>
      </c>
    </row>
    <row r="18" customFormat="false" ht="15" hidden="false" customHeight="false" outlineLevel="0" collapsed="false">
      <c r="A18" s="210"/>
      <c r="B18" s="212"/>
      <c r="C18" s="214" t="s">
        <v>989</v>
      </c>
    </row>
    <row r="19" customFormat="false" ht="15" hidden="false" customHeight="false" outlineLevel="0" collapsed="false">
      <c r="A19" s="210"/>
      <c r="B19" s="212"/>
      <c r="C19" s="214" t="s">
        <v>990</v>
      </c>
    </row>
    <row r="20" customFormat="false" ht="15" hidden="false" customHeight="false" outlineLevel="0" collapsed="false">
      <c r="A20" s="210"/>
      <c r="B20" s="212"/>
      <c r="C20" s="214" t="s">
        <v>983</v>
      </c>
    </row>
    <row r="21" customFormat="false" ht="15" hidden="false" customHeight="false" outlineLevel="0" collapsed="false">
      <c r="A21" s="210"/>
      <c r="B21" s="212"/>
      <c r="C21" s="215" t="s">
        <v>991</v>
      </c>
    </row>
    <row r="22" customFormat="false" ht="39.55" hidden="false" customHeight="true" outlineLevel="0" collapsed="false">
      <c r="A22" s="210"/>
      <c r="B22" s="212" t="s">
        <v>992</v>
      </c>
      <c r="C22" s="213" t="s">
        <v>993</v>
      </c>
    </row>
    <row r="23" customFormat="false" ht="15" hidden="false" customHeight="false" outlineLevel="0" collapsed="false">
      <c r="A23" s="210"/>
      <c r="B23" s="212"/>
      <c r="C23" s="216"/>
    </row>
    <row r="24" customFormat="false" ht="26.85" hidden="false" customHeight="false" outlineLevel="0" collapsed="false">
      <c r="A24" s="210"/>
      <c r="B24" s="212"/>
      <c r="C24" s="214" t="s">
        <v>994</v>
      </c>
    </row>
    <row r="25" customFormat="false" ht="26.85" hidden="false" customHeight="false" outlineLevel="0" collapsed="false">
      <c r="A25" s="210"/>
      <c r="B25" s="212"/>
      <c r="C25" s="215" t="s">
        <v>995</v>
      </c>
    </row>
    <row r="26" customFormat="false" ht="15" hidden="false" customHeight="true" outlineLevel="0" collapsed="false">
      <c r="A26" s="210"/>
      <c r="B26" s="212" t="s">
        <v>996</v>
      </c>
      <c r="C26" s="217" t="s">
        <v>997</v>
      </c>
    </row>
    <row r="27" customFormat="false" ht="24" hidden="false" customHeight="true" outlineLevel="0" collapsed="false">
      <c r="A27" s="210"/>
      <c r="B27" s="212"/>
      <c r="C27" s="217"/>
    </row>
    <row r="28" customFormat="false" ht="39.55" hidden="false" customHeight="false" outlineLevel="0" collapsed="false">
      <c r="A28" s="210"/>
      <c r="B28" s="218" t="s">
        <v>65</v>
      </c>
      <c r="C28" s="218" t="s">
        <v>998</v>
      </c>
    </row>
    <row r="29" customFormat="false" ht="39.55" hidden="false" customHeight="true" outlineLevel="0" collapsed="false">
      <c r="A29" s="210"/>
      <c r="B29" s="212" t="s">
        <v>999</v>
      </c>
      <c r="C29" s="213" t="s">
        <v>1000</v>
      </c>
    </row>
    <row r="30" customFormat="false" ht="15" hidden="false" customHeight="false" outlineLevel="0" collapsed="false">
      <c r="A30" s="210"/>
      <c r="B30" s="212"/>
      <c r="C30" s="216"/>
    </row>
    <row r="31" customFormat="false" ht="15" hidden="false" customHeight="false" outlineLevel="0" collapsed="false">
      <c r="A31" s="210"/>
      <c r="B31" s="212"/>
      <c r="C31" s="214" t="s">
        <v>1001</v>
      </c>
    </row>
    <row r="32" customFormat="false" ht="15" hidden="false" customHeight="false" outlineLevel="0" collapsed="false">
      <c r="A32" s="210"/>
      <c r="B32" s="212"/>
      <c r="C32" s="214" t="s">
        <v>1002</v>
      </c>
    </row>
    <row r="33" customFormat="false" ht="15" hidden="false" customHeight="false" outlineLevel="0" collapsed="false">
      <c r="A33" s="210"/>
      <c r="B33" s="212"/>
      <c r="C33" s="214" t="s">
        <v>1003</v>
      </c>
    </row>
    <row r="34" customFormat="false" ht="15" hidden="false" customHeight="false" outlineLevel="0" collapsed="false">
      <c r="A34" s="210"/>
      <c r="B34" s="212"/>
      <c r="C34" s="214" t="s">
        <v>1004</v>
      </c>
    </row>
    <row r="35" customFormat="false" ht="15" hidden="false" customHeight="false" outlineLevel="0" collapsed="false">
      <c r="A35" s="210"/>
      <c r="B35" s="212"/>
      <c r="C35" s="214" t="s">
        <v>1005</v>
      </c>
    </row>
    <row r="36" customFormat="false" ht="15" hidden="false" customHeight="false" outlineLevel="0" collapsed="false">
      <c r="A36" s="210"/>
      <c r="B36" s="212"/>
      <c r="C36" s="215" t="s">
        <v>1006</v>
      </c>
    </row>
    <row r="37" customFormat="false" ht="64.9" hidden="false" customHeight="true" outlineLevel="0" collapsed="false">
      <c r="A37" s="210"/>
      <c r="B37" s="212" t="s">
        <v>121</v>
      </c>
      <c r="C37" s="213" t="s">
        <v>1007</v>
      </c>
    </row>
    <row r="38" customFormat="false" ht="15" hidden="false" customHeight="false" outlineLevel="0" collapsed="false">
      <c r="A38" s="210"/>
      <c r="B38" s="212"/>
      <c r="C38" s="216"/>
    </row>
    <row r="39" customFormat="false" ht="15" hidden="false" customHeight="false" outlineLevel="0" collapsed="false">
      <c r="A39" s="210"/>
      <c r="B39" s="212"/>
      <c r="C39" s="214" t="s">
        <v>1008</v>
      </c>
    </row>
    <row r="40" customFormat="false" ht="15" hidden="false" customHeight="false" outlineLevel="0" collapsed="false">
      <c r="A40" s="210"/>
      <c r="B40" s="212"/>
      <c r="C40" s="214" t="s">
        <v>1009</v>
      </c>
    </row>
    <row r="41" customFormat="false" ht="15" hidden="false" customHeight="false" outlineLevel="0" collapsed="false">
      <c r="A41" s="210"/>
      <c r="B41" s="212"/>
      <c r="C41" s="214" t="s">
        <v>1010</v>
      </c>
    </row>
    <row r="42" customFormat="false" ht="15" hidden="false" customHeight="false" outlineLevel="0" collapsed="false">
      <c r="A42" s="210"/>
      <c r="B42" s="212"/>
      <c r="C42" s="215" t="s">
        <v>1011</v>
      </c>
    </row>
    <row r="43" customFormat="false" ht="26.85" hidden="false" customHeight="false" outlineLevel="0" collapsed="false">
      <c r="A43" s="210"/>
      <c r="B43" s="218" t="s">
        <v>1012</v>
      </c>
      <c r="C43" s="218" t="s">
        <v>1013</v>
      </c>
    </row>
    <row r="44" customFormat="false" ht="90.25" hidden="false" customHeight="true" outlineLevel="0" collapsed="false">
      <c r="A44" s="210"/>
      <c r="B44" s="212" t="s">
        <v>1014</v>
      </c>
      <c r="C44" s="213" t="s">
        <v>1015</v>
      </c>
    </row>
    <row r="45" customFormat="false" ht="15" hidden="false" customHeight="false" outlineLevel="0" collapsed="false">
      <c r="A45" s="210"/>
      <c r="B45" s="212"/>
      <c r="C45" s="216"/>
    </row>
    <row r="46" customFormat="false" ht="15" hidden="false" customHeight="false" outlineLevel="0" collapsed="false">
      <c r="A46" s="210"/>
      <c r="B46" s="212"/>
      <c r="C46" s="214" t="s">
        <v>1016</v>
      </c>
    </row>
    <row r="47" customFormat="false" ht="15" hidden="false" customHeight="false" outlineLevel="0" collapsed="false">
      <c r="A47" s="210"/>
      <c r="B47" s="212"/>
      <c r="C47" s="215" t="s">
        <v>1017</v>
      </c>
    </row>
    <row r="48" customFormat="false" ht="26.85" hidden="false" customHeight="true" outlineLevel="0" collapsed="false">
      <c r="A48" s="210"/>
      <c r="B48" s="212" t="s">
        <v>1018</v>
      </c>
      <c r="C48" s="213" t="s">
        <v>1019</v>
      </c>
    </row>
    <row r="49" customFormat="false" ht="15" hidden="false" customHeight="false" outlineLevel="0" collapsed="false">
      <c r="A49" s="210"/>
      <c r="B49" s="212"/>
      <c r="C49" s="216"/>
    </row>
    <row r="50" customFormat="false" ht="15" hidden="false" customHeight="false" outlineLevel="0" collapsed="false">
      <c r="A50" s="210"/>
      <c r="B50" s="212"/>
      <c r="C50" s="214" t="s">
        <v>1020</v>
      </c>
    </row>
    <row r="51" customFormat="false" ht="15" hidden="false" customHeight="false" outlineLevel="0" collapsed="false">
      <c r="A51" s="210"/>
      <c r="B51" s="212"/>
      <c r="C51" s="214" t="s">
        <v>1021</v>
      </c>
    </row>
    <row r="52" customFormat="false" ht="15" hidden="false" customHeight="false" outlineLevel="0" collapsed="false">
      <c r="A52" s="210"/>
      <c r="B52" s="212"/>
      <c r="C52" s="214" t="s">
        <v>1022</v>
      </c>
    </row>
    <row r="53" customFormat="false" ht="15" hidden="false" customHeight="false" outlineLevel="0" collapsed="false">
      <c r="A53" s="210"/>
      <c r="B53" s="212"/>
      <c r="C53" s="215" t="s">
        <v>1023</v>
      </c>
    </row>
    <row r="54" customFormat="false" ht="26.85" hidden="false" customHeight="false" outlineLevel="0" collapsed="false">
      <c r="A54" s="210"/>
      <c r="B54" s="218" t="s">
        <v>1024</v>
      </c>
      <c r="C54" s="218" t="s">
        <v>1025</v>
      </c>
    </row>
    <row r="55" customFormat="false" ht="26.85" hidden="false" customHeight="true" outlineLevel="0" collapsed="false">
      <c r="A55" s="210"/>
      <c r="B55" s="212" t="s">
        <v>218</v>
      </c>
      <c r="C55" s="213" t="s">
        <v>1026</v>
      </c>
    </row>
    <row r="56" customFormat="false" ht="15" hidden="false" customHeight="false" outlineLevel="0" collapsed="false">
      <c r="A56" s="210"/>
      <c r="B56" s="212"/>
      <c r="C56" s="216"/>
    </row>
    <row r="57" customFormat="false" ht="15" hidden="false" customHeight="false" outlineLevel="0" collapsed="false">
      <c r="A57" s="210"/>
      <c r="B57" s="212"/>
      <c r="C57" s="214" t="s">
        <v>1027</v>
      </c>
    </row>
    <row r="58" customFormat="false" ht="15" hidden="false" customHeight="false" outlineLevel="0" collapsed="false">
      <c r="A58" s="210"/>
      <c r="B58" s="212"/>
      <c r="C58" s="214" t="s">
        <v>1028</v>
      </c>
    </row>
    <row r="59" customFormat="false" ht="15" hidden="false" customHeight="false" outlineLevel="0" collapsed="false">
      <c r="A59" s="210"/>
      <c r="B59" s="212"/>
      <c r="C59" s="214" t="s">
        <v>1029</v>
      </c>
    </row>
    <row r="60" customFormat="false" ht="15" hidden="false" customHeight="false" outlineLevel="0" collapsed="false">
      <c r="A60" s="210"/>
      <c r="B60" s="212"/>
      <c r="C60" s="214" t="s">
        <v>1030</v>
      </c>
    </row>
    <row r="61" customFormat="false" ht="15" hidden="false" customHeight="false" outlineLevel="0" collapsed="false">
      <c r="A61" s="210"/>
      <c r="B61" s="212"/>
      <c r="C61" s="214" t="s">
        <v>1031</v>
      </c>
    </row>
    <row r="62" customFormat="false" ht="15" hidden="false" customHeight="false" outlineLevel="0" collapsed="false">
      <c r="A62" s="210"/>
      <c r="B62" s="212"/>
      <c r="C62" s="214" t="s">
        <v>1032</v>
      </c>
    </row>
    <row r="63" customFormat="false" ht="15" hidden="false" customHeight="false" outlineLevel="0" collapsed="false">
      <c r="A63" s="210"/>
      <c r="B63" s="212"/>
      <c r="C63" s="215" t="s">
        <v>1033</v>
      </c>
    </row>
    <row r="64" customFormat="false" ht="39.55" hidden="false" customHeight="true" outlineLevel="0" collapsed="false">
      <c r="A64" s="210"/>
      <c r="B64" s="212" t="s">
        <v>314</v>
      </c>
      <c r="C64" s="213" t="s">
        <v>1034</v>
      </c>
    </row>
    <row r="65" customFormat="false" ht="15" hidden="false" customHeight="false" outlineLevel="0" collapsed="false">
      <c r="A65" s="210"/>
      <c r="B65" s="212"/>
      <c r="C65" s="216"/>
    </row>
    <row r="66" customFormat="false" ht="15" hidden="false" customHeight="false" outlineLevel="0" collapsed="false">
      <c r="A66" s="210"/>
      <c r="B66" s="212"/>
      <c r="C66" s="214" t="s">
        <v>1035</v>
      </c>
    </row>
    <row r="67" customFormat="false" ht="15" hidden="false" customHeight="false" outlineLevel="0" collapsed="false">
      <c r="A67" s="210"/>
      <c r="B67" s="212"/>
      <c r="C67" s="214" t="s">
        <v>1036</v>
      </c>
    </row>
    <row r="68" customFormat="false" ht="15" hidden="false" customHeight="false" outlineLevel="0" collapsed="false">
      <c r="A68" s="210"/>
      <c r="B68" s="212"/>
      <c r="C68" s="214" t="s">
        <v>1037</v>
      </c>
    </row>
    <row r="69" customFormat="false" ht="15" hidden="false" customHeight="false" outlineLevel="0" collapsed="false">
      <c r="A69" s="210"/>
      <c r="B69" s="212"/>
      <c r="C69" s="214" t="s">
        <v>1038</v>
      </c>
    </row>
    <row r="70" customFormat="false" ht="15" hidden="false" customHeight="false" outlineLevel="0" collapsed="false">
      <c r="A70" s="210"/>
      <c r="B70" s="212"/>
      <c r="C70" s="215" t="s">
        <v>1039</v>
      </c>
    </row>
    <row r="71" customFormat="false" ht="26.85" hidden="false" customHeight="false" outlineLevel="0" collapsed="false">
      <c r="A71" s="210"/>
      <c r="B71" s="218" t="s">
        <v>174</v>
      </c>
      <c r="C71" s="218" t="s">
        <v>1040</v>
      </c>
    </row>
    <row r="72" customFormat="false" ht="26.85" hidden="false" customHeight="true" outlineLevel="0" collapsed="false">
      <c r="A72" s="219"/>
      <c r="B72" s="220" t="s">
        <v>1041</v>
      </c>
      <c r="C72" s="221" t="s">
        <v>1042</v>
      </c>
    </row>
    <row r="73" customFormat="false" ht="15" hidden="false" customHeight="false" outlineLevel="0" collapsed="false">
      <c r="A73" s="219"/>
      <c r="B73" s="220"/>
      <c r="C73" s="222"/>
    </row>
    <row r="74" customFormat="false" ht="15" hidden="false" customHeight="false" outlineLevel="0" collapsed="false">
      <c r="A74" s="219"/>
      <c r="B74" s="220"/>
      <c r="C74" s="223" t="s">
        <v>1043</v>
      </c>
    </row>
    <row r="75" customFormat="false" ht="15" hidden="false" customHeight="false" outlineLevel="0" collapsed="false">
      <c r="A75" s="219"/>
      <c r="B75" s="220"/>
      <c r="C75" s="223" t="s">
        <v>1044</v>
      </c>
    </row>
    <row r="76" customFormat="false" ht="15" hidden="false" customHeight="false" outlineLevel="0" collapsed="false">
      <c r="A76" s="219"/>
      <c r="B76" s="220"/>
      <c r="C76" s="224" t="s">
        <v>1045</v>
      </c>
    </row>
    <row r="77" customFormat="false" ht="39.55" hidden="false" customHeight="true" outlineLevel="0" collapsed="false">
      <c r="A77" s="219"/>
      <c r="B77" s="220" t="s">
        <v>1046</v>
      </c>
      <c r="C77" s="213" t="s">
        <v>1047</v>
      </c>
    </row>
    <row r="78" customFormat="false" ht="15" hidden="false" customHeight="false" outlineLevel="0" collapsed="false">
      <c r="A78" s="219"/>
      <c r="B78" s="220"/>
      <c r="C78" s="223" t="s">
        <v>1048</v>
      </c>
    </row>
    <row r="79" customFormat="false" ht="15" hidden="false" customHeight="false" outlineLevel="0" collapsed="false">
      <c r="A79" s="219"/>
      <c r="B79" s="220"/>
      <c r="C79" s="223" t="s">
        <v>1049</v>
      </c>
    </row>
    <row r="80" customFormat="false" ht="15" hidden="false" customHeight="false" outlineLevel="0" collapsed="false">
      <c r="A80" s="219"/>
      <c r="B80" s="220"/>
      <c r="C80" s="224" t="s">
        <v>1050</v>
      </c>
    </row>
    <row r="81" customFormat="false" ht="26.85" hidden="false" customHeight="true" outlineLevel="0" collapsed="false">
      <c r="A81" s="219"/>
      <c r="B81" s="220" t="s">
        <v>1051</v>
      </c>
      <c r="C81" s="213" t="s">
        <v>1052</v>
      </c>
    </row>
    <row r="82" customFormat="false" ht="15" hidden="false" customHeight="false" outlineLevel="0" collapsed="false">
      <c r="A82" s="219"/>
      <c r="B82" s="220"/>
      <c r="C82" s="223" t="s">
        <v>1053</v>
      </c>
    </row>
    <row r="83" customFormat="false" ht="15" hidden="false" customHeight="false" outlineLevel="0" collapsed="false">
      <c r="A83" s="219"/>
      <c r="B83" s="220"/>
      <c r="C83" s="223" t="s">
        <v>1054</v>
      </c>
    </row>
    <row r="84" customFormat="false" ht="15" hidden="false" customHeight="false" outlineLevel="0" collapsed="false">
      <c r="A84" s="219"/>
      <c r="B84" s="220"/>
      <c r="C84" s="223" t="s">
        <v>1055</v>
      </c>
    </row>
    <row r="85" customFormat="false" ht="15" hidden="false" customHeight="false" outlineLevel="0" collapsed="false">
      <c r="A85" s="219"/>
      <c r="B85" s="220"/>
      <c r="C85" s="224" t="s">
        <v>1056</v>
      </c>
    </row>
    <row r="86" customFormat="false" ht="26.85" hidden="false" customHeight="false" outlineLevel="0" collapsed="false">
      <c r="A86" s="219"/>
      <c r="B86" s="225" t="s">
        <v>1057</v>
      </c>
      <c r="C86" s="226" t="s">
        <v>1058</v>
      </c>
    </row>
    <row r="87" customFormat="false" ht="26.85" hidden="false" customHeight="false" outlineLevel="0" collapsed="false">
      <c r="A87" s="219"/>
      <c r="B87" s="225" t="s">
        <v>1059</v>
      </c>
      <c r="C87" s="226" t="s">
        <v>1060</v>
      </c>
    </row>
    <row r="88" customFormat="false" ht="77.6" hidden="false" customHeight="false" outlineLevel="0" collapsed="false">
      <c r="A88" s="227"/>
      <c r="B88" s="225" t="s">
        <v>1061</v>
      </c>
      <c r="C88" s="228" t="s">
        <v>1062</v>
      </c>
    </row>
    <row r="89" customFormat="false" ht="115.65" hidden="false" customHeight="false" outlineLevel="0" collapsed="false">
      <c r="A89" s="227"/>
      <c r="B89" s="225" t="s">
        <v>1063</v>
      </c>
      <c r="C89" s="228" t="s">
        <v>1064</v>
      </c>
    </row>
  </sheetData>
  <mergeCells count="16">
    <mergeCell ref="A6:A71"/>
    <mergeCell ref="B7:B14"/>
    <mergeCell ref="B15:B21"/>
    <mergeCell ref="B22:B25"/>
    <mergeCell ref="B26:B27"/>
    <mergeCell ref="C26:C27"/>
    <mergeCell ref="B29:B36"/>
    <mergeCell ref="B37:B42"/>
    <mergeCell ref="B44:B47"/>
    <mergeCell ref="B48:B53"/>
    <mergeCell ref="B55:B63"/>
    <mergeCell ref="B64:B70"/>
    <mergeCell ref="A72:A87"/>
    <mergeCell ref="B72:B76"/>
    <mergeCell ref="B77:B80"/>
    <mergeCell ref="B81:B8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K6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5.14"/>
    <col collapsed="false" customWidth="true" hidden="false" outlineLevel="0" max="3" min="3" style="0" width="16"/>
    <col collapsed="false" customWidth="true" hidden="false" outlineLevel="0" max="4" min="4" style="0" width="18.57"/>
    <col collapsed="false" customWidth="true" hidden="false" outlineLevel="0" max="5" min="5" style="0" width="23.42"/>
    <col collapsed="false" customWidth="true" hidden="false" outlineLevel="0" max="6" min="6" style="0" width="18.29"/>
    <col collapsed="false" customWidth="true" hidden="false" outlineLevel="0" max="7" min="7" style="0" width="20"/>
    <col collapsed="false" customWidth="true" hidden="false" outlineLevel="0" max="8" min="8" style="0" width="25.14"/>
  </cols>
  <sheetData>
    <row r="1" customFormat="false" ht="15" hidden="false" customHeight="false" outlineLevel="0" collapsed="false">
      <c r="A1" s="229"/>
      <c r="B1" s="229"/>
      <c r="C1" s="230" t="s">
        <v>1065</v>
      </c>
      <c r="D1" s="230"/>
      <c r="E1" s="230"/>
      <c r="F1" s="231" t="s">
        <v>1066</v>
      </c>
      <c r="G1" s="231"/>
      <c r="H1" s="231"/>
    </row>
    <row r="2" customFormat="false" ht="26.85" hidden="false" customHeight="true" outlineLevel="0" collapsed="false">
      <c r="A2" s="232" t="s">
        <v>1067</v>
      </c>
      <c r="B2" s="233" t="s">
        <v>1068</v>
      </c>
      <c r="C2" s="234" t="s">
        <v>1069</v>
      </c>
      <c r="D2" s="235" t="s">
        <v>1070</v>
      </c>
      <c r="E2" s="236" t="s">
        <v>875</v>
      </c>
      <c r="F2" s="234" t="s">
        <v>833</v>
      </c>
      <c r="G2" s="235" t="s">
        <v>854</v>
      </c>
      <c r="H2" s="236" t="s">
        <v>876</v>
      </c>
      <c r="J2" s="237" t="s">
        <v>1071</v>
      </c>
      <c r="K2" s="237" t="s">
        <v>1072</v>
      </c>
    </row>
    <row r="3" customFormat="false" ht="15" hidden="false" customHeight="false" outlineLevel="0" collapsed="false">
      <c r="A3" s="232"/>
      <c r="B3" s="233"/>
      <c r="C3" s="238" t="s">
        <v>1073</v>
      </c>
      <c r="D3" s="239" t="s">
        <v>1074</v>
      </c>
      <c r="E3" s="240" t="s">
        <v>1075</v>
      </c>
      <c r="F3" s="238" t="s">
        <v>1073</v>
      </c>
      <c r="G3" s="239" t="s">
        <v>1074</v>
      </c>
      <c r="H3" s="240" t="s">
        <v>1075</v>
      </c>
      <c r="J3" s="237" t="s">
        <v>1076</v>
      </c>
      <c r="K3" s="237" t="s">
        <v>236</v>
      </c>
    </row>
    <row r="4" customFormat="false" ht="27.75" hidden="false" customHeight="true" outlineLevel="0" collapsed="false">
      <c r="A4" s="241" t="n">
        <v>1</v>
      </c>
      <c r="B4" s="242" t="s">
        <v>1077</v>
      </c>
      <c r="C4" s="242" t="s">
        <v>1078</v>
      </c>
      <c r="D4" s="242" t="s">
        <v>1079</v>
      </c>
      <c r="E4" s="243" t="s">
        <v>1080</v>
      </c>
      <c r="F4" s="242" t="s">
        <v>1081</v>
      </c>
      <c r="G4" s="242" t="s">
        <v>1082</v>
      </c>
      <c r="H4" s="242" t="s">
        <v>1083</v>
      </c>
      <c r="J4" s="237" t="s">
        <v>1084</v>
      </c>
      <c r="K4" s="237" t="s">
        <v>361</v>
      </c>
    </row>
    <row r="5" customFormat="false" ht="62.25" hidden="false" customHeight="true" outlineLevel="0" collapsed="false">
      <c r="A5" s="241"/>
      <c r="B5" s="242"/>
      <c r="C5" s="242"/>
      <c r="D5" s="242"/>
      <c r="E5" s="244" t="s">
        <v>1085</v>
      </c>
      <c r="F5" s="242"/>
      <c r="G5" s="242"/>
      <c r="H5" s="242"/>
      <c r="K5" s="237" t="s">
        <v>718</v>
      </c>
    </row>
    <row r="6" customFormat="false" ht="62.25" hidden="false" customHeight="true" outlineLevel="0" collapsed="false">
      <c r="A6" s="245"/>
      <c r="B6" s="243"/>
      <c r="C6" s="243"/>
      <c r="D6" s="243"/>
      <c r="E6" s="243"/>
      <c r="F6" s="243"/>
      <c r="G6" s="243"/>
      <c r="H6" s="243"/>
      <c r="K6" s="237" t="s">
        <v>1086</v>
      </c>
    </row>
    <row r="7" customFormat="false" ht="62.25" hidden="false" customHeight="true" outlineLevel="0" collapsed="false">
      <c r="A7" s="245"/>
      <c r="B7" s="243"/>
      <c r="C7" s="243"/>
      <c r="D7" s="243"/>
      <c r="E7" s="243"/>
      <c r="F7" s="243"/>
      <c r="G7" s="243"/>
      <c r="H7" s="243"/>
    </row>
    <row r="8" customFormat="false" ht="15" hidden="false" customHeight="false" outlineLevel="0" collapsed="false">
      <c r="A8" s="246" t="s">
        <v>1087</v>
      </c>
    </row>
    <row r="9" customFormat="false" ht="15" hidden="false" customHeight="false" outlineLevel="0" collapsed="false">
      <c r="A9" s="246" t="s">
        <v>1088</v>
      </c>
    </row>
    <row r="10" customFormat="false" ht="15" hidden="false" customHeight="false" outlineLevel="0" collapsed="false">
      <c r="A10" s="247" t="s">
        <v>1089</v>
      </c>
    </row>
    <row r="11" customFormat="false" ht="15" hidden="false" customHeight="false" outlineLevel="0" collapsed="false">
      <c r="A11" s="247" t="s">
        <v>1090</v>
      </c>
    </row>
    <row r="12" customFormat="false" ht="15" hidden="false" customHeight="false" outlineLevel="0" collapsed="false">
      <c r="A12" s="247" t="s">
        <v>1091</v>
      </c>
    </row>
    <row r="13" customFormat="false" ht="15" hidden="false" customHeight="false" outlineLevel="0" collapsed="false">
      <c r="A13" s="247" t="s">
        <v>1092</v>
      </c>
    </row>
    <row r="14" customFormat="false" ht="15" hidden="false" customHeight="false" outlineLevel="0" collapsed="false">
      <c r="A14" s="247" t="s">
        <v>1093</v>
      </c>
    </row>
    <row r="15" customFormat="false" ht="15" hidden="false" customHeight="false" outlineLevel="0" collapsed="false">
      <c r="A15" s="248" t="s">
        <v>1094</v>
      </c>
    </row>
    <row r="16" customFormat="false" ht="15" hidden="false" customHeight="false" outlineLevel="0" collapsed="false">
      <c r="A16" s="248" t="s">
        <v>1095</v>
      </c>
    </row>
    <row r="17" customFormat="false" ht="15" hidden="false" customHeight="false" outlineLevel="0" collapsed="false">
      <c r="A17" s="248" t="s">
        <v>1096</v>
      </c>
    </row>
    <row r="18" customFormat="false" ht="15" hidden="false" customHeight="false" outlineLevel="0" collapsed="false">
      <c r="A18" s="247" t="s">
        <v>1097</v>
      </c>
    </row>
    <row r="19" customFormat="false" ht="15" hidden="false" customHeight="false" outlineLevel="0" collapsed="false">
      <c r="A19" s="248" t="s">
        <v>1098</v>
      </c>
    </row>
    <row r="20" customFormat="false" ht="15" hidden="false" customHeight="false" outlineLevel="0" collapsed="false">
      <c r="A20" s="248" t="s">
        <v>1099</v>
      </c>
    </row>
    <row r="21" customFormat="false" ht="15" hidden="false" customHeight="false" outlineLevel="0" collapsed="false">
      <c r="A21" s="248" t="s">
        <v>1100</v>
      </c>
    </row>
    <row r="22" customFormat="false" ht="15" hidden="false" customHeight="false" outlineLevel="0" collapsed="false">
      <c r="A22" s="247" t="s">
        <v>1101</v>
      </c>
    </row>
    <row r="23" customFormat="false" ht="15" hidden="false" customHeight="false" outlineLevel="0" collapsed="false">
      <c r="A23" s="248" t="s">
        <v>1102</v>
      </c>
    </row>
    <row r="24" customFormat="false" ht="15" hidden="false" customHeight="false" outlineLevel="0" collapsed="false">
      <c r="A24" s="248" t="s">
        <v>1103</v>
      </c>
    </row>
    <row r="25" customFormat="false" ht="15" hidden="false" customHeight="false" outlineLevel="0" collapsed="false">
      <c r="A25" s="248" t="s">
        <v>1104</v>
      </c>
    </row>
    <row r="26" customFormat="false" ht="15" hidden="false" customHeight="false" outlineLevel="0" collapsed="false">
      <c r="A26" s="249"/>
    </row>
    <row r="27" customFormat="false" ht="15" hidden="false" customHeight="false" outlineLevel="0" collapsed="false">
      <c r="A27" s="249"/>
      <c r="B27" s="237" t="s">
        <v>1071</v>
      </c>
      <c r="D27" s="237" t="s">
        <v>1072</v>
      </c>
      <c r="E27" s="0" t="n">
        <v>1</v>
      </c>
    </row>
    <row r="28" customFormat="false" ht="15" hidden="false" customHeight="false" outlineLevel="0" collapsed="false">
      <c r="A28" s="249"/>
      <c r="B28" s="237" t="s">
        <v>1076</v>
      </c>
      <c r="D28" s="237" t="s">
        <v>236</v>
      </c>
      <c r="E28" s="0" t="n">
        <v>0.8</v>
      </c>
    </row>
    <row r="29" customFormat="false" ht="15" hidden="false" customHeight="false" outlineLevel="0" collapsed="false">
      <c r="A29" s="249"/>
      <c r="B29" s="237" t="s">
        <v>1084</v>
      </c>
      <c r="D29" s="237" t="s">
        <v>361</v>
      </c>
      <c r="E29" s="0" t="n">
        <v>0.6</v>
      </c>
      <c r="F29" s="237" t="s">
        <v>40</v>
      </c>
    </row>
    <row r="30" customFormat="false" ht="15" hidden="false" customHeight="false" outlineLevel="0" collapsed="false">
      <c r="D30" s="0" t="s">
        <v>718</v>
      </c>
      <c r="E30" s="0" t="n">
        <v>0.4</v>
      </c>
      <c r="F30" s="0" t="s">
        <v>50</v>
      </c>
    </row>
    <row r="31" customFormat="false" ht="15" hidden="false" customHeight="false" outlineLevel="0" collapsed="false">
      <c r="D31" s="0" t="s">
        <v>1086</v>
      </c>
      <c r="E31" s="0" t="n">
        <v>0.2</v>
      </c>
      <c r="F31" s="0" t="s">
        <v>30</v>
      </c>
    </row>
    <row r="32" customFormat="false" ht="15" hidden="false" customHeight="false" outlineLevel="0" collapsed="false">
      <c r="F32" s="0" t="s">
        <v>87</v>
      </c>
    </row>
    <row r="33" customFormat="false" ht="15" hidden="false" customHeight="false" outlineLevel="0" collapsed="false">
      <c r="F33" s="0" t="s">
        <v>1105</v>
      </c>
    </row>
    <row r="35" customFormat="false" ht="15" hidden="false" customHeight="false" outlineLevel="0" collapsed="false">
      <c r="B35" s="250" t="s">
        <v>1106</v>
      </c>
    </row>
    <row r="36" customFormat="false" ht="32.8" hidden="false" customHeight="false" outlineLevel="0" collapsed="false">
      <c r="B36" s="250" t="s">
        <v>53</v>
      </c>
    </row>
    <row r="37" customFormat="false" ht="15" hidden="false" customHeight="false" outlineLevel="0" collapsed="false">
      <c r="B37" s="250" t="s">
        <v>992</v>
      </c>
    </row>
    <row r="38" customFormat="false" ht="22.35" hidden="false" customHeight="false" outlineLevel="0" collapsed="false">
      <c r="B38" s="250" t="s">
        <v>201</v>
      </c>
    </row>
    <row r="39" customFormat="false" ht="22.35" hidden="false" customHeight="false" outlineLevel="0" collapsed="false">
      <c r="B39" s="250" t="s">
        <v>1107</v>
      </c>
    </row>
    <row r="40" customFormat="false" ht="15" hidden="false" customHeight="false" outlineLevel="0" collapsed="false">
      <c r="B40" s="250" t="s">
        <v>65</v>
      </c>
    </row>
    <row r="41" customFormat="false" ht="22.35" hidden="false" customHeight="false" outlineLevel="0" collapsed="false">
      <c r="B41" s="250" t="s">
        <v>999</v>
      </c>
    </row>
    <row r="42" customFormat="false" ht="22.35" hidden="false" customHeight="false" outlineLevel="0" collapsed="false">
      <c r="B42" s="250" t="s">
        <v>121</v>
      </c>
    </row>
    <row r="43" customFormat="false" ht="15" hidden="false" customHeight="false" outlineLevel="0" collapsed="false">
      <c r="B43" s="250" t="s">
        <v>1012</v>
      </c>
    </row>
    <row r="44" customFormat="false" ht="32.8" hidden="false" customHeight="false" outlineLevel="0" collapsed="false">
      <c r="B44" s="250" t="s">
        <v>1108</v>
      </c>
    </row>
    <row r="45" customFormat="false" ht="22.35" hidden="false" customHeight="false" outlineLevel="0" collapsed="false">
      <c r="B45" s="250" t="s">
        <v>25</v>
      </c>
    </row>
    <row r="46" customFormat="false" ht="15" hidden="false" customHeight="false" outlineLevel="0" collapsed="false">
      <c r="B46" s="250" t="s">
        <v>192</v>
      </c>
    </row>
    <row r="47" customFormat="false" ht="15" hidden="false" customHeight="false" outlineLevel="0" collapsed="false">
      <c r="B47" s="250" t="s">
        <v>218</v>
      </c>
    </row>
    <row r="48" customFormat="false" ht="15" hidden="false" customHeight="false" outlineLevel="0" collapsed="false">
      <c r="B48" s="250" t="s">
        <v>314</v>
      </c>
    </row>
    <row r="49" customFormat="false" ht="15" hidden="false" customHeight="false" outlineLevel="0" collapsed="false">
      <c r="B49" s="250" t="s">
        <v>174</v>
      </c>
    </row>
    <row r="50" customFormat="false" ht="22.35" hidden="false" customHeight="false" outlineLevel="0" collapsed="false">
      <c r="B50" s="250" t="s">
        <v>1041</v>
      </c>
    </row>
    <row r="51" customFormat="false" ht="22.35" hidden="false" customHeight="false" outlineLevel="0" collapsed="false">
      <c r="B51" s="250" t="s">
        <v>1109</v>
      </c>
    </row>
    <row r="52" customFormat="false" ht="15" hidden="false" customHeight="false" outlineLevel="0" collapsed="false">
      <c r="B52" s="250" t="s">
        <v>1110</v>
      </c>
    </row>
    <row r="53" customFormat="false" ht="22.35" hidden="false" customHeight="false" outlineLevel="0" collapsed="false">
      <c r="B53" s="250" t="s">
        <v>1111</v>
      </c>
    </row>
    <row r="54" customFormat="false" ht="22.35" hidden="false" customHeight="false" outlineLevel="0" collapsed="false">
      <c r="B54" s="250" t="s">
        <v>1112</v>
      </c>
    </row>
    <row r="55" customFormat="false" ht="22.35" hidden="false" customHeight="false" outlineLevel="0" collapsed="false">
      <c r="B55" s="250" t="s">
        <v>1113</v>
      </c>
    </row>
    <row r="58" customFormat="false" ht="15" hidden="false" customHeight="false" outlineLevel="0" collapsed="false">
      <c r="B58" s="250" t="s">
        <v>415</v>
      </c>
      <c r="C58" s="80" t="s">
        <v>416</v>
      </c>
    </row>
    <row r="59" customFormat="false" ht="15" hidden="false" customHeight="false" outlineLevel="0" collapsed="false">
      <c r="B59" s="250" t="s">
        <v>442</v>
      </c>
      <c r="C59" s="80" t="s">
        <v>646</v>
      </c>
    </row>
    <row r="60" customFormat="false" ht="15" hidden="false" customHeight="false" outlineLevel="0" collapsed="false">
      <c r="C60" s="80" t="s">
        <v>481</v>
      </c>
    </row>
    <row r="64" customFormat="false" ht="15" hidden="false" customHeight="false" outlineLevel="0" collapsed="false">
      <c r="B64" s="0" t="str">
        <f aca="false">IF(N10&lt;=4,"Acceptable ",IF(N10&lt;=14,"Moderalety Acceptable","Unacceptable"))</f>
        <v>Acceptable </v>
      </c>
    </row>
  </sheetData>
  <mergeCells count="12">
    <mergeCell ref="A1:B1"/>
    <mergeCell ref="C1:E1"/>
    <mergeCell ref="F1:H1"/>
    <mergeCell ref="A2:A3"/>
    <mergeCell ref="B2:B3"/>
    <mergeCell ref="A4:A5"/>
    <mergeCell ref="B4:B5"/>
    <mergeCell ref="C4:C5"/>
    <mergeCell ref="D4:D5"/>
    <mergeCell ref="F4:F5"/>
    <mergeCell ref="G4:G5"/>
    <mergeCell ref="H4:H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0FC14"/>
    <pageSetUpPr fitToPage="false"/>
  </sheetPr>
  <dimension ref="A1:C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F10" activeCellId="0" sqref="F10"/>
    </sheetView>
  </sheetViews>
  <sheetFormatPr defaultColWidth="8.6796875" defaultRowHeight="15" zeroHeight="false" outlineLevelRow="0" outlineLevelCol="0"/>
  <cols>
    <col collapsed="false" customWidth="true" hidden="false" outlineLevel="0" max="1" min="1" style="0" width="24.57"/>
    <col collapsed="false" customWidth="true" hidden="false" outlineLevel="0" max="2" min="2" style="0" width="27.15"/>
    <col collapsed="false" customWidth="true" hidden="false" outlineLevel="0" max="3" min="3" style="0" width="12.29"/>
  </cols>
  <sheetData>
    <row r="1" customFormat="false" ht="15" hidden="false" customHeight="false" outlineLevel="0" collapsed="false">
      <c r="A1" s="251" t="s">
        <v>1114</v>
      </c>
      <c r="B1" s="252" t="s">
        <v>1115</v>
      </c>
      <c r="C1" s="253" t="s">
        <v>1116</v>
      </c>
    </row>
    <row r="2" customFormat="false" ht="22.35" hidden="false" customHeight="false" outlineLevel="0" collapsed="false">
      <c r="A2" s="254" t="s">
        <v>831</v>
      </c>
      <c r="B2" s="254" t="s">
        <v>1117</v>
      </c>
      <c r="C2" s="255" t="s">
        <v>1118</v>
      </c>
    </row>
    <row r="3" customFormat="false" ht="22.35" hidden="false" customHeight="false" outlineLevel="0" collapsed="false">
      <c r="A3" s="256" t="s">
        <v>718</v>
      </c>
      <c r="B3" s="256" t="s">
        <v>1119</v>
      </c>
      <c r="C3" s="257" t="n">
        <v>0.4</v>
      </c>
    </row>
    <row r="4" customFormat="false" ht="22.35" hidden="false" customHeight="false" outlineLevel="0" collapsed="false">
      <c r="A4" s="256" t="s">
        <v>361</v>
      </c>
      <c r="B4" s="256" t="s">
        <v>1120</v>
      </c>
      <c r="C4" s="258" t="n">
        <v>0.6</v>
      </c>
    </row>
    <row r="5" customFormat="false" ht="32.8" hidden="false" customHeight="false" outlineLevel="0" collapsed="false">
      <c r="A5" s="259" t="s">
        <v>236</v>
      </c>
      <c r="B5" s="260" t="s">
        <v>1121</v>
      </c>
      <c r="C5" s="261" t="s">
        <v>1122</v>
      </c>
    </row>
    <row r="6" customFormat="false" ht="15" hidden="false" customHeight="false" outlineLevel="0" collapsed="false">
      <c r="A6" s="259" t="s">
        <v>1123</v>
      </c>
      <c r="B6" s="260" t="s">
        <v>1124</v>
      </c>
      <c r="C6" s="261"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true"/>
  </sheetPr>
  <dimension ref="A1:BO4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1484375" defaultRowHeight="12.75" zeroHeight="false" outlineLevelRow="0" outlineLevelCol="0"/>
  <cols>
    <col collapsed="false" customWidth="true" hidden="false" outlineLevel="0" max="1" min="1" style="80" width="8.86"/>
    <col collapsed="false" customWidth="true" hidden="false" outlineLevel="0" max="2" min="2" style="80" width="19.57"/>
    <col collapsed="false" customWidth="true" hidden="false" outlineLevel="0" max="3" min="3" style="81" width="39"/>
    <col collapsed="false" customWidth="true" hidden="false" outlineLevel="0" max="4" min="4" style="81" width="14.57"/>
    <col collapsed="false" customWidth="true" hidden="false" outlineLevel="0" max="5" min="5" style="81" width="57.71"/>
    <col collapsed="false" customWidth="true" hidden="false" outlineLevel="0" max="6" min="6" style="81" width="17.86"/>
    <col collapsed="false" customWidth="true" hidden="false" outlineLevel="0" max="7" min="7" style="81" width="17.42"/>
    <col collapsed="false" customWidth="true" hidden="true" outlineLevel="0" max="8" min="8" style="80" width="6.14"/>
    <col collapsed="false" customWidth="true" hidden="false" outlineLevel="0" max="9" min="9" style="80" width="18.71"/>
    <col collapsed="false" customWidth="false" hidden="false" outlineLevel="0" max="16384" min="10" style="80" width="9.14"/>
  </cols>
  <sheetData>
    <row r="1" customFormat="false" ht="50.25" hidden="false" customHeight="true" outlineLevel="0" collapsed="false">
      <c r="A1" s="262" t="s">
        <v>1125</v>
      </c>
      <c r="B1" s="262" t="s">
        <v>1126</v>
      </c>
      <c r="C1" s="262" t="s">
        <v>1127</v>
      </c>
      <c r="D1" s="262" t="s">
        <v>1128</v>
      </c>
      <c r="E1" s="262" t="s">
        <v>1129</v>
      </c>
      <c r="F1" s="262" t="s">
        <v>1130</v>
      </c>
      <c r="G1" s="262" t="s">
        <v>1131</v>
      </c>
      <c r="H1" s="82" t="s">
        <v>409</v>
      </c>
    </row>
    <row r="2" customFormat="false" ht="77.25" hidden="false" customHeight="true" outlineLevel="0" collapsed="false">
      <c r="A2" s="84" t="s">
        <v>410</v>
      </c>
      <c r="B2" s="85" t="s">
        <v>23</v>
      </c>
      <c r="C2" s="119" t="s">
        <v>26</v>
      </c>
      <c r="D2" s="86"/>
      <c r="E2" s="24" t="s">
        <v>411</v>
      </c>
      <c r="F2" s="24" t="s">
        <v>33</v>
      </c>
      <c r="G2" s="24" t="s">
        <v>412</v>
      </c>
      <c r="H2" s="89"/>
    </row>
    <row r="3" customFormat="false" ht="93" hidden="false" customHeight="true" outlineLevel="0" collapsed="false">
      <c r="A3" s="84" t="s">
        <v>410</v>
      </c>
      <c r="B3" s="18" t="s">
        <v>35</v>
      </c>
      <c r="C3" s="24" t="s">
        <v>36</v>
      </c>
      <c r="D3" s="16"/>
      <c r="E3" s="24" t="s">
        <v>417</v>
      </c>
      <c r="F3" s="24" t="s">
        <v>43</v>
      </c>
      <c r="G3" s="24" t="s">
        <v>412</v>
      </c>
      <c r="H3" s="90"/>
    </row>
    <row r="4" customFormat="false" ht="90.75" hidden="false" customHeight="true" outlineLevel="0" collapsed="false">
      <c r="A4" s="84" t="s">
        <v>410</v>
      </c>
      <c r="B4" s="91" t="s">
        <v>45</v>
      </c>
      <c r="C4" s="119" t="s">
        <v>46</v>
      </c>
      <c r="D4" s="86"/>
      <c r="E4" s="24" t="s">
        <v>417</v>
      </c>
      <c r="F4" s="24" t="s">
        <v>419</v>
      </c>
      <c r="G4" s="24" t="s">
        <v>412</v>
      </c>
      <c r="H4" s="90" t="n">
        <f aca="false">'Register 2025-26'!V12</f>
        <v>0</v>
      </c>
    </row>
    <row r="5" customFormat="false" ht="81.75" hidden="false" customHeight="true" outlineLevel="0" collapsed="false">
      <c r="A5" s="84" t="s">
        <v>410</v>
      </c>
      <c r="B5" s="263" t="s">
        <v>52</v>
      </c>
      <c r="C5" s="263" t="s">
        <v>421</v>
      </c>
      <c r="D5" s="264"/>
      <c r="E5" s="24" t="s">
        <v>1132</v>
      </c>
      <c r="F5" s="32" t="s">
        <v>60</v>
      </c>
      <c r="G5" s="24" t="s">
        <v>423</v>
      </c>
      <c r="H5" s="95"/>
    </row>
    <row r="6" s="101" customFormat="true" ht="164.25" hidden="false" customHeight="true" outlineLevel="0" collapsed="false">
      <c r="A6" s="98" t="s">
        <v>429</v>
      </c>
      <c r="B6" s="112" t="s">
        <v>63</v>
      </c>
      <c r="C6" s="125" t="s">
        <v>66</v>
      </c>
      <c r="D6" s="113"/>
      <c r="E6" s="24" t="s">
        <v>430</v>
      </c>
      <c r="F6" s="24" t="s">
        <v>72</v>
      </c>
      <c r="G6" s="24" t="s">
        <v>44</v>
      </c>
      <c r="H6" s="108" t="n">
        <f aca="false">'Register 2025-26'!V14</f>
        <v>0</v>
      </c>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80"/>
      <c r="BK6" s="80"/>
      <c r="BL6" s="80"/>
      <c r="BM6" s="80"/>
      <c r="BN6" s="80"/>
      <c r="BO6" s="80"/>
    </row>
    <row r="7" customFormat="false" ht="94.5" hidden="false" customHeight="true" outlineLevel="0" collapsed="false">
      <c r="A7" s="98" t="s">
        <v>429</v>
      </c>
      <c r="B7" s="18" t="s">
        <v>74</v>
      </c>
      <c r="C7" s="24" t="s">
        <v>434</v>
      </c>
      <c r="D7" s="16"/>
      <c r="E7" s="24" t="s">
        <v>435</v>
      </c>
      <c r="F7" s="24" t="s">
        <v>80</v>
      </c>
      <c r="G7" s="30" t="s">
        <v>104</v>
      </c>
      <c r="H7" s="89" t="n">
        <f aca="false">'Register 2025-26'!V15</f>
        <v>0</v>
      </c>
    </row>
    <row r="8" customFormat="false" ht="144" hidden="false" customHeight="true" outlineLevel="0" collapsed="false">
      <c r="A8" s="98" t="s">
        <v>429</v>
      </c>
      <c r="B8" s="18" t="s">
        <v>82</v>
      </c>
      <c r="C8" s="18" t="s">
        <v>83</v>
      </c>
      <c r="D8" s="53"/>
      <c r="E8" s="24" t="s">
        <v>437</v>
      </c>
      <c r="F8" s="24" t="s">
        <v>89</v>
      </c>
      <c r="G8" s="24" t="s">
        <v>438</v>
      </c>
      <c r="H8" s="104" t="n">
        <f aca="false">'Register 2025-26'!V16</f>
        <v>0</v>
      </c>
    </row>
    <row r="9" customFormat="false" ht="97.5" hidden="false" customHeight="true" outlineLevel="0" collapsed="false">
      <c r="A9" s="98" t="s">
        <v>429</v>
      </c>
      <c r="B9" s="112" t="s">
        <v>91</v>
      </c>
      <c r="C9" s="125" t="s">
        <v>92</v>
      </c>
      <c r="D9" s="113"/>
      <c r="E9" s="24" t="s">
        <v>440</v>
      </c>
      <c r="F9" s="24" t="s">
        <v>89</v>
      </c>
      <c r="G9" s="24" t="s">
        <v>97</v>
      </c>
      <c r="H9" s="108" t="n">
        <f aca="false">'Register 2025-26'!V17</f>
        <v>0</v>
      </c>
    </row>
    <row r="10" customFormat="false" ht="152.25" hidden="false" customHeight="true" outlineLevel="0" collapsed="false">
      <c r="A10" s="98" t="s">
        <v>429</v>
      </c>
      <c r="B10" s="106" t="s">
        <v>98</v>
      </c>
      <c r="C10" s="265" t="s">
        <v>446</v>
      </c>
      <c r="D10" s="266"/>
      <c r="E10" s="24" t="s">
        <v>447</v>
      </c>
      <c r="F10" s="24" t="s">
        <v>448</v>
      </c>
      <c r="G10" s="24" t="s">
        <v>104</v>
      </c>
      <c r="H10" s="108"/>
    </row>
    <row r="11" customFormat="false" ht="123.75" hidden="false" customHeight="true" outlineLevel="0" collapsed="false">
      <c r="A11" s="98" t="s">
        <v>429</v>
      </c>
      <c r="B11" s="265" t="s">
        <v>105</v>
      </c>
      <c r="C11" s="125" t="s">
        <v>106</v>
      </c>
      <c r="D11" s="113"/>
      <c r="E11" s="24" t="s">
        <v>454</v>
      </c>
      <c r="F11" s="24" t="s">
        <v>89</v>
      </c>
      <c r="G11" s="24" t="s">
        <v>455</v>
      </c>
      <c r="H11" s="267" t="n">
        <f aca="false">'Register 2025-26'!V19</f>
        <v>0</v>
      </c>
    </row>
    <row r="12" customFormat="false" ht="122.25" hidden="false" customHeight="true" outlineLevel="0" collapsed="false">
      <c r="A12" s="18" t="s">
        <v>429</v>
      </c>
      <c r="B12" s="91" t="s">
        <v>112</v>
      </c>
      <c r="C12" s="24" t="s">
        <v>113</v>
      </c>
      <c r="D12" s="16"/>
      <c r="E12" s="24" t="s">
        <v>417</v>
      </c>
      <c r="F12" s="24" t="s">
        <v>72</v>
      </c>
      <c r="G12" s="24" t="s">
        <v>104</v>
      </c>
      <c r="H12" s="111" t="n">
        <f aca="false">'Register 2025-26'!V20</f>
        <v>0</v>
      </c>
    </row>
    <row r="13" customFormat="false" ht="144" hidden="false" customHeight="true" outlineLevel="0" collapsed="false">
      <c r="A13" s="112" t="s">
        <v>462</v>
      </c>
      <c r="B13" s="112" t="s">
        <v>119</v>
      </c>
      <c r="C13" s="125" t="s">
        <v>463</v>
      </c>
      <c r="D13" s="113"/>
      <c r="E13" s="24" t="s">
        <v>464</v>
      </c>
      <c r="F13" s="24" t="s">
        <v>128</v>
      </c>
      <c r="G13" s="30" t="s">
        <v>44</v>
      </c>
      <c r="H13" s="108" t="n">
        <f aca="false">'Register 2025-26'!V21</f>
        <v>0</v>
      </c>
    </row>
    <row r="14" customFormat="false" ht="69" hidden="false" customHeight="true" outlineLevel="0" collapsed="false">
      <c r="A14" s="112" t="s">
        <v>462</v>
      </c>
      <c r="B14" s="18" t="s">
        <v>129</v>
      </c>
      <c r="C14" s="24" t="s">
        <v>130</v>
      </c>
      <c r="D14" s="16"/>
      <c r="E14" s="24" t="s">
        <v>467</v>
      </c>
      <c r="F14" s="24" t="s">
        <v>128</v>
      </c>
      <c r="G14" s="24" t="s">
        <v>44</v>
      </c>
      <c r="H14" s="108" t="n">
        <f aca="false">'Register 2025-26'!V22</f>
        <v>0</v>
      </c>
    </row>
    <row r="15" customFormat="false" ht="72" hidden="false" customHeight="true" outlineLevel="0" collapsed="false">
      <c r="A15" s="18" t="s">
        <v>462</v>
      </c>
      <c r="B15" s="18" t="s">
        <v>136</v>
      </c>
      <c r="C15" s="24" t="s">
        <v>475</v>
      </c>
      <c r="D15" s="16"/>
      <c r="E15" s="24" t="s">
        <v>476</v>
      </c>
      <c r="F15" s="24" t="s">
        <v>142</v>
      </c>
      <c r="G15" s="24" t="s">
        <v>477</v>
      </c>
      <c r="H15" s="108" t="n">
        <f aca="false">'Register 2025-26'!V23</f>
        <v>0</v>
      </c>
    </row>
    <row r="16" customFormat="false" ht="73.5" hidden="false" customHeight="true" outlineLevel="0" collapsed="false">
      <c r="A16" s="120" t="s">
        <v>488</v>
      </c>
      <c r="B16" s="121" t="s">
        <v>145</v>
      </c>
      <c r="C16" s="18" t="s">
        <v>489</v>
      </c>
      <c r="D16" s="268"/>
      <c r="E16" s="122" t="s">
        <v>490</v>
      </c>
      <c r="F16" s="106" t="s">
        <v>153</v>
      </c>
      <c r="G16" s="109" t="s">
        <v>491</v>
      </c>
      <c r="H16" s="267" t="n">
        <f aca="false">'Register 2025-26'!V24</f>
        <v>0</v>
      </c>
    </row>
    <row r="17" customFormat="false" ht="110.25" hidden="false" customHeight="true" outlineLevel="0" collapsed="false">
      <c r="A17" s="120" t="s">
        <v>488</v>
      </c>
      <c r="B17" s="84" t="s">
        <v>496</v>
      </c>
      <c r="C17" s="85" t="s">
        <v>157</v>
      </c>
      <c r="D17" s="86"/>
      <c r="E17" s="24" t="s">
        <v>497</v>
      </c>
      <c r="F17" s="32" t="s">
        <v>163</v>
      </c>
      <c r="G17" s="35" t="s">
        <v>498</v>
      </c>
      <c r="H17" s="108" t="n">
        <f aca="false">'Register 2025-26'!V25</f>
        <v>0</v>
      </c>
    </row>
    <row r="18" customFormat="false" ht="92.25" hidden="false" customHeight="true" outlineLevel="0" collapsed="false">
      <c r="A18" s="120" t="s">
        <v>488</v>
      </c>
      <c r="B18" s="269" t="s">
        <v>503</v>
      </c>
      <c r="C18" s="84" t="s">
        <v>166</v>
      </c>
      <c r="D18" s="270"/>
      <c r="E18" s="24" t="s">
        <v>504</v>
      </c>
      <c r="F18" s="32" t="s">
        <v>171</v>
      </c>
      <c r="G18" s="35" t="s">
        <v>104</v>
      </c>
      <c r="H18" s="108" t="n">
        <f aca="false">'Register 2025-26'!V26</f>
        <v>0</v>
      </c>
    </row>
    <row r="19" customFormat="false" ht="104.25" hidden="false" customHeight="true" outlineLevel="0" collapsed="false">
      <c r="A19" s="91" t="s">
        <v>488</v>
      </c>
      <c r="B19" s="85" t="s">
        <v>509</v>
      </c>
      <c r="C19" s="119" t="s">
        <v>175</v>
      </c>
      <c r="D19" s="86"/>
      <c r="E19" s="24" t="s">
        <v>417</v>
      </c>
      <c r="F19" s="32" t="s">
        <v>171</v>
      </c>
      <c r="G19" s="35" t="s">
        <v>104</v>
      </c>
      <c r="H19" s="90" t="n">
        <f aca="false">'Register 2025-26'!V27</f>
        <v>0</v>
      </c>
    </row>
    <row r="20" customFormat="false" ht="69.75" hidden="false" customHeight="true" outlineLevel="0" collapsed="false">
      <c r="A20" s="98" t="s">
        <v>511</v>
      </c>
      <c r="B20" s="18" t="s">
        <v>181</v>
      </c>
      <c r="C20" s="18" t="s">
        <v>512</v>
      </c>
      <c r="D20" s="16"/>
      <c r="E20" s="24" t="s">
        <v>513</v>
      </c>
      <c r="F20" s="24" t="s">
        <v>189</v>
      </c>
      <c r="G20" s="24" t="s">
        <v>514</v>
      </c>
      <c r="H20" s="108" t="n">
        <f aca="false">'Register 2025-26'!V28</f>
        <v>0</v>
      </c>
    </row>
    <row r="21" customFormat="false" ht="63" hidden="false" customHeight="true" outlineLevel="0" collapsed="false">
      <c r="A21" s="98" t="s">
        <v>511</v>
      </c>
      <c r="B21" s="85" t="s">
        <v>191</v>
      </c>
      <c r="C21" s="85" t="s">
        <v>519</v>
      </c>
      <c r="D21" s="86"/>
      <c r="E21" s="24" t="s">
        <v>520</v>
      </c>
      <c r="F21" s="24" t="s">
        <v>207</v>
      </c>
      <c r="G21" s="30" t="s">
        <v>521</v>
      </c>
      <c r="H21" s="108" t="n">
        <f aca="false">'Register 2025-26'!V29</f>
        <v>0</v>
      </c>
    </row>
    <row r="22" customFormat="false" ht="57.75" hidden="false" customHeight="true" outlineLevel="0" collapsed="false">
      <c r="A22" s="98" t="s">
        <v>511</v>
      </c>
      <c r="B22" s="18" t="s">
        <v>200</v>
      </c>
      <c r="C22" s="18" t="s">
        <v>202</v>
      </c>
      <c r="D22" s="16"/>
      <c r="E22" s="24" t="s">
        <v>527</v>
      </c>
      <c r="F22" s="24" t="s">
        <v>207</v>
      </c>
      <c r="G22" s="30" t="s">
        <v>528</v>
      </c>
      <c r="H22" s="108" t="n">
        <f aca="false">'Register 2025-26'!V30</f>
        <v>0</v>
      </c>
    </row>
    <row r="23" customFormat="false" ht="51.75" hidden="false" customHeight="true" outlineLevel="0" collapsed="false">
      <c r="A23" s="98" t="s">
        <v>511</v>
      </c>
      <c r="B23" s="85" t="s">
        <v>209</v>
      </c>
      <c r="C23" s="85" t="s">
        <v>210</v>
      </c>
      <c r="D23" s="86"/>
      <c r="E23" s="94" t="s">
        <v>536</v>
      </c>
      <c r="F23" s="94" t="s">
        <v>215</v>
      </c>
      <c r="G23" s="39" t="s">
        <v>537</v>
      </c>
      <c r="H23" s="108" t="n">
        <f aca="false">'Register 2025-26'!V31</f>
        <v>0</v>
      </c>
    </row>
    <row r="24" customFormat="false" ht="49.5" hidden="false" customHeight="true" outlineLevel="0" collapsed="false">
      <c r="A24" s="98" t="s">
        <v>511</v>
      </c>
      <c r="B24" s="18" t="s">
        <v>217</v>
      </c>
      <c r="C24" s="24" t="s">
        <v>542</v>
      </c>
      <c r="D24" s="16"/>
      <c r="E24" s="24" t="s">
        <v>543</v>
      </c>
      <c r="F24" s="94" t="s">
        <v>215</v>
      </c>
      <c r="G24" s="39" t="s">
        <v>537</v>
      </c>
      <c r="H24" s="111" t="n">
        <f aca="false">'Register 2025-26'!V32</f>
        <v>0</v>
      </c>
    </row>
    <row r="25" customFormat="false" ht="53.25" hidden="false" customHeight="true" outlineLevel="0" collapsed="false">
      <c r="A25" s="98" t="s">
        <v>511</v>
      </c>
      <c r="B25" s="85" t="s">
        <v>223</v>
      </c>
      <c r="C25" s="85" t="s">
        <v>224</v>
      </c>
      <c r="D25" s="86"/>
      <c r="E25" s="24" t="s">
        <v>545</v>
      </c>
      <c r="F25" s="24" t="s">
        <v>229</v>
      </c>
      <c r="G25" s="30" t="s">
        <v>546</v>
      </c>
      <c r="H25" s="108" t="n">
        <f aca="false">'Register 2025-26'!V33</f>
        <v>0</v>
      </c>
    </row>
    <row r="26" customFormat="false" ht="65.25" hidden="false" customHeight="true" outlineLevel="0" collapsed="false">
      <c r="A26" s="98" t="s">
        <v>511</v>
      </c>
      <c r="B26" s="91" t="s">
        <v>231</v>
      </c>
      <c r="C26" s="24" t="s">
        <v>232</v>
      </c>
      <c r="D26" s="16"/>
      <c r="E26" s="94" t="s">
        <v>550</v>
      </c>
      <c r="F26" s="94" t="s">
        <v>238</v>
      </c>
      <c r="G26" s="133" t="s">
        <v>44</v>
      </c>
      <c r="H26" s="89" t="n">
        <f aca="false">'Register 2025-26'!V34</f>
        <v>0</v>
      </c>
    </row>
    <row r="27" customFormat="false" ht="61.5" hidden="false" customHeight="true" outlineLevel="0" collapsed="false">
      <c r="A27" s="98" t="s">
        <v>511</v>
      </c>
      <c r="B27" s="271" t="s">
        <v>239</v>
      </c>
      <c r="C27" s="112" t="s">
        <v>240</v>
      </c>
      <c r="D27" s="113"/>
      <c r="E27" s="24" t="s">
        <v>552</v>
      </c>
      <c r="F27" s="125" t="s">
        <v>245</v>
      </c>
      <c r="G27" s="24" t="s">
        <v>553</v>
      </c>
      <c r="H27" s="108" t="n">
        <f aca="false">'Register 2025-26'!V35</f>
        <v>0</v>
      </c>
    </row>
    <row r="28" customFormat="false" ht="66" hidden="false" customHeight="true" outlineLevel="0" collapsed="false">
      <c r="A28" s="18" t="s">
        <v>511</v>
      </c>
      <c r="B28" s="18" t="s">
        <v>247</v>
      </c>
      <c r="C28" s="18" t="s">
        <v>248</v>
      </c>
      <c r="D28" s="16"/>
      <c r="E28" s="24" t="s">
        <v>557</v>
      </c>
      <c r="F28" s="125" t="s">
        <v>238</v>
      </c>
      <c r="G28" s="24" t="s">
        <v>558</v>
      </c>
      <c r="H28" s="267" t="n">
        <f aca="false">'Register 2025-26'!V36</f>
        <v>0</v>
      </c>
    </row>
    <row r="29" customFormat="false" ht="99.75" hidden="false" customHeight="true" outlineLevel="0" collapsed="false">
      <c r="A29" s="18" t="s">
        <v>564</v>
      </c>
      <c r="B29" s="18" t="s">
        <v>255</v>
      </c>
      <c r="C29" s="18" t="s">
        <v>565</v>
      </c>
      <c r="D29" s="16"/>
      <c r="E29" s="24" t="s">
        <v>566</v>
      </c>
      <c r="F29" s="24" t="s">
        <v>263</v>
      </c>
      <c r="G29" s="30" t="s">
        <v>567</v>
      </c>
      <c r="H29" s="108" t="n">
        <f aca="false">'Register 2025-26'!V37</f>
        <v>0</v>
      </c>
    </row>
    <row r="30" customFormat="false" ht="168" hidden="false" customHeight="true" outlineLevel="0" collapsed="false">
      <c r="A30" s="18" t="s">
        <v>564</v>
      </c>
      <c r="B30" s="265" t="s">
        <v>265</v>
      </c>
      <c r="C30" s="112" t="s">
        <v>573</v>
      </c>
      <c r="D30" s="266"/>
      <c r="E30" s="24" t="s">
        <v>574</v>
      </c>
      <c r="F30" s="24" t="s">
        <v>271</v>
      </c>
      <c r="G30" s="30" t="s">
        <v>575</v>
      </c>
      <c r="H30" s="108" t="n">
        <f aca="false">'Register 2025-26'!V38</f>
        <v>0</v>
      </c>
    </row>
    <row r="31" customFormat="false" ht="81" hidden="false" customHeight="true" outlineLevel="0" collapsed="false">
      <c r="A31" s="18" t="s">
        <v>564</v>
      </c>
      <c r="B31" s="91" t="s">
        <v>273</v>
      </c>
      <c r="C31" s="24" t="s">
        <v>584</v>
      </c>
      <c r="D31" s="16"/>
      <c r="E31" s="94" t="s">
        <v>585</v>
      </c>
      <c r="F31" s="24" t="s">
        <v>279</v>
      </c>
      <c r="G31" s="30" t="s">
        <v>280</v>
      </c>
      <c r="H31" s="89" t="n">
        <f aca="false">'Register 2025-26'!V39</f>
        <v>0</v>
      </c>
    </row>
    <row r="32" customFormat="false" ht="137.25" hidden="false" customHeight="true" outlineLevel="0" collapsed="false">
      <c r="A32" s="18" t="s">
        <v>564</v>
      </c>
      <c r="B32" s="91" t="s">
        <v>281</v>
      </c>
      <c r="C32" s="18" t="s">
        <v>587</v>
      </c>
      <c r="D32" s="16"/>
      <c r="E32" s="24" t="s">
        <v>588</v>
      </c>
      <c r="F32" s="24" t="s">
        <v>279</v>
      </c>
      <c r="G32" s="24" t="s">
        <v>589</v>
      </c>
      <c r="H32" s="108" t="n">
        <f aca="false">'Register 2025-26'!V40</f>
        <v>0</v>
      </c>
    </row>
    <row r="33" s="148" customFormat="true" ht="86.25" hidden="false" customHeight="true" outlineLevel="0" collapsed="false">
      <c r="A33" s="143" t="s">
        <v>593</v>
      </c>
      <c r="B33" s="143" t="s">
        <v>288</v>
      </c>
      <c r="C33" s="143" t="s">
        <v>290</v>
      </c>
      <c r="D33" s="144"/>
      <c r="E33" s="29" t="s">
        <v>594</v>
      </c>
      <c r="F33" s="29" t="s">
        <v>294</v>
      </c>
      <c r="G33" s="145" t="s">
        <v>595</v>
      </c>
      <c r="H33" s="272" t="n">
        <f aca="false">'Register 2025-26'!V41</f>
        <v>0</v>
      </c>
    </row>
    <row r="34" customFormat="false" ht="79.5" hidden="false" customHeight="true" outlineLevel="0" collapsed="false">
      <c r="A34" s="143" t="s">
        <v>593</v>
      </c>
      <c r="B34" s="143" t="s">
        <v>297</v>
      </c>
      <c r="C34" s="143" t="s">
        <v>298</v>
      </c>
      <c r="D34" s="144"/>
      <c r="E34" s="29" t="s">
        <v>599</v>
      </c>
      <c r="F34" s="29" t="s">
        <v>294</v>
      </c>
      <c r="G34" s="47" t="s">
        <v>491</v>
      </c>
      <c r="H34" s="272" t="n">
        <f aca="false">'Register 2025-26'!V42</f>
        <v>0</v>
      </c>
    </row>
    <row r="35" customFormat="false" ht="67.5" hidden="false" customHeight="true" outlineLevel="0" collapsed="false">
      <c r="A35" s="143" t="s">
        <v>593</v>
      </c>
      <c r="B35" s="18" t="s">
        <v>304</v>
      </c>
      <c r="C35" s="18" t="s">
        <v>305</v>
      </c>
      <c r="D35" s="16"/>
      <c r="E35" s="24" t="s">
        <v>609</v>
      </c>
      <c r="F35" s="29" t="s">
        <v>310</v>
      </c>
      <c r="G35" s="24" t="s">
        <v>610</v>
      </c>
      <c r="H35" s="267" t="n">
        <f aca="false">'Register 2025-26'!V43</f>
        <v>0</v>
      </c>
    </row>
    <row r="36" customFormat="false" ht="90" hidden="false" customHeight="true" outlineLevel="0" collapsed="false">
      <c r="A36" s="91" t="s">
        <v>620</v>
      </c>
      <c r="B36" s="125" t="s">
        <v>312</v>
      </c>
      <c r="C36" s="112" t="s">
        <v>315</v>
      </c>
      <c r="D36" s="113"/>
      <c r="E36" s="24" t="s">
        <v>621</v>
      </c>
      <c r="F36" s="32" t="s">
        <v>320</v>
      </c>
      <c r="G36" s="24" t="s">
        <v>622</v>
      </c>
      <c r="H36" s="108" t="n">
        <f aca="false">'Register 2025-26'!V44</f>
        <v>0</v>
      </c>
    </row>
    <row r="37" customFormat="false" ht="74.25" hidden="false" customHeight="true" outlineLevel="0" collapsed="false">
      <c r="A37" s="91" t="s">
        <v>620</v>
      </c>
      <c r="B37" s="18" t="s">
        <v>322</v>
      </c>
      <c r="C37" s="18" t="s">
        <v>323</v>
      </c>
      <c r="D37" s="16"/>
      <c r="E37" s="24" t="s">
        <v>628</v>
      </c>
      <c r="F37" s="32" t="s">
        <v>328</v>
      </c>
      <c r="G37" s="24" t="s">
        <v>622</v>
      </c>
      <c r="H37" s="267" t="n">
        <f aca="false">'Register 2025-26'!V45</f>
        <v>0</v>
      </c>
    </row>
    <row r="38" customFormat="false" ht="88.5" hidden="false" customHeight="true" outlineLevel="0" collapsed="false">
      <c r="A38" s="91" t="s">
        <v>620</v>
      </c>
      <c r="B38" s="91" t="s">
        <v>330</v>
      </c>
      <c r="C38" s="18" t="s">
        <v>634</v>
      </c>
      <c r="D38" s="16"/>
      <c r="E38" s="24" t="s">
        <v>635</v>
      </c>
      <c r="F38" s="32" t="s">
        <v>336</v>
      </c>
      <c r="G38" s="24" t="s">
        <v>636</v>
      </c>
      <c r="H38" s="108" t="n">
        <f aca="false">'Register 2025-26'!V46</f>
        <v>0</v>
      </c>
    </row>
    <row r="39" customFormat="false" ht="125.25" hidden="false" customHeight="true" outlineLevel="0" collapsed="false">
      <c r="A39" s="91" t="s">
        <v>620</v>
      </c>
      <c r="B39" s="152" t="s">
        <v>338</v>
      </c>
      <c r="C39" s="18" t="s">
        <v>339</v>
      </c>
      <c r="D39" s="16"/>
      <c r="E39" s="24" t="s">
        <v>640</v>
      </c>
      <c r="F39" s="24" t="s">
        <v>344</v>
      </c>
      <c r="G39" s="24" t="s">
        <v>641</v>
      </c>
      <c r="H39" s="108" t="n">
        <f aca="false">'Register 2025-26'!V47</f>
        <v>0</v>
      </c>
    </row>
    <row r="42" customFormat="false" ht="12.75" hidden="false" customHeight="false" outlineLevel="0" collapsed="false">
      <c r="H42" s="135" t="e">
        <f aca="false">+#REF!/#REF!</f>
        <v>#REF!</v>
      </c>
    </row>
    <row r="43" customFormat="false" ht="12.75" hidden="false" customHeight="false" outlineLevel="0" collapsed="false">
      <c r="H43" s="135"/>
    </row>
    <row r="44" customFormat="false" ht="12.75" hidden="false" customHeight="false" outlineLevel="0" collapsed="false">
      <c r="H44" s="135"/>
    </row>
    <row r="47" customFormat="false" ht="12.75" hidden="true" customHeight="false" outlineLevel="0" collapsed="false"/>
    <row r="48" customFormat="false" ht="12.75" hidden="true" customHeight="false" outlineLevel="0" collapsed="false"/>
    <row r="49" customFormat="false" ht="12.75" hidden="true" customHeight="false" outlineLevel="0" collapsed="false"/>
  </sheetData>
  <autoFilter ref="A1:G39"/>
  <conditionalFormatting sqref="H2:H39">
    <cfRule type="cellIs" priority="2" operator="between" aboveAverage="0" equalAverage="0" bottom="0" percent="0" rank="0" text="" dxfId="73">
      <formula>15</formula>
      <formula>25</formula>
    </cfRule>
    <cfRule type="cellIs" priority="3" operator="between" aboveAverage="0" equalAverage="0" bottom="0" percent="0" rank="0" text="" dxfId="74">
      <formula>1</formula>
      <formula>4.8</formula>
    </cfRule>
    <cfRule type="cellIs" priority="4" operator="between" aboveAverage="0" equalAverage="0" bottom="0" percent="0" rank="0" text="" dxfId="75">
      <formula>5</formula>
      <formula>14</formula>
    </cfRule>
    <cfRule type="cellIs" priority="5" operator="between" aboveAverage="0" equalAverage="0" bottom="0" percent="0" rank="0" text="" dxfId="76">
      <formula>1</formula>
      <formula>4.8</formula>
    </cfRule>
  </conditionalFormatting>
  <conditionalFormatting sqref="G25">
    <cfRule type="cellIs" priority="6" operator="between" aboveAverage="0" equalAverage="0" bottom="0" percent="0" rank="0" text="" dxfId="77">
      <formula>1</formula>
      <formula>4</formula>
    </cfRule>
    <cfRule type="cellIs" priority="7" operator="between" aboveAverage="0" equalAverage="0" bottom="0" percent="0" rank="0" text="" dxfId="78">
      <formula>5</formula>
      <formula>14</formula>
    </cfRule>
    <cfRule type="cellIs" priority="8" operator="between" aboveAverage="0" equalAverage="0" bottom="0" percent="0" rank="0" text="" dxfId="79">
      <formula>15</formula>
      <formula>25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D13" activeCellId="0" sqref="D13"/>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3.42"/>
  </cols>
  <sheetData>
    <row r="1" customFormat="false" ht="58.5" hidden="false" customHeight="true" outlineLevel="0" collapsed="false">
      <c r="A1" s="273" t="s">
        <v>1084</v>
      </c>
      <c r="B1" s="274" t="s">
        <v>1133</v>
      </c>
    </row>
    <row r="2" customFormat="false" ht="15.75" hidden="true" customHeight="false" outlineLevel="0" collapsed="false">
      <c r="A2" s="273"/>
      <c r="B2" s="274"/>
    </row>
    <row r="3" customFormat="false" ht="49.5" hidden="false" customHeight="true" outlineLevel="0" collapsed="false">
      <c r="A3" s="273" t="s">
        <v>1134</v>
      </c>
      <c r="B3" s="275" t="s">
        <v>1135</v>
      </c>
    </row>
    <row r="4" customFormat="false" ht="15.75" hidden="true" customHeight="false" outlineLevel="0" collapsed="false">
      <c r="A4" s="273"/>
      <c r="B4" s="275"/>
    </row>
    <row r="5" customFormat="false" ht="40.5" hidden="false" customHeight="true" outlineLevel="0" collapsed="false">
      <c r="A5" s="273" t="s">
        <v>1136</v>
      </c>
      <c r="B5" s="276" t="s">
        <v>1137</v>
      </c>
    </row>
    <row r="6" customFormat="false" ht="15.75" hidden="true" customHeight="false" outlineLevel="0" collapsed="false">
      <c r="A6" s="273"/>
      <c r="B6" s="276"/>
    </row>
  </sheetData>
  <mergeCells count="6">
    <mergeCell ref="A1:A2"/>
    <mergeCell ref="B1:B2"/>
    <mergeCell ref="A3:A4"/>
    <mergeCell ref="B3:B4"/>
    <mergeCell ref="A5:A6"/>
    <mergeCell ref="B5:B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K2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9.1484375" defaultRowHeight="14.25" zeroHeight="false" outlineLevelRow="0" outlineLevelCol="0"/>
  <cols>
    <col collapsed="false" customWidth="true" hidden="false" outlineLevel="0" max="1" min="1" style="277" width="29.14"/>
    <col collapsed="false" customWidth="true" hidden="false" outlineLevel="0" max="2" min="2" style="277" width="16"/>
    <col collapsed="false" customWidth="true" hidden="false" outlineLevel="0" max="3" min="3" style="277" width="27.86"/>
    <col collapsed="false" customWidth="false" hidden="false" outlineLevel="0" max="16384" min="4" style="277" width="9.14"/>
  </cols>
  <sheetData>
    <row r="1" customFormat="false" ht="14.25" hidden="false" customHeight="false" outlineLevel="0" collapsed="false">
      <c r="A1" s="278"/>
    </row>
    <row r="2" customFormat="false" ht="14.25" hidden="false" customHeight="false" outlineLevel="0" collapsed="false">
      <c r="A2" s="278"/>
    </row>
    <row r="3" customFormat="false" ht="14.25" hidden="false" customHeight="false" outlineLevel="0" collapsed="false">
      <c r="A3" s="279"/>
      <c r="B3" s="279"/>
      <c r="C3" s="279"/>
      <c r="D3" s="279"/>
      <c r="E3" s="279"/>
      <c r="F3" s="279"/>
      <c r="G3" s="279"/>
      <c r="H3" s="279"/>
      <c r="I3" s="279"/>
      <c r="J3" s="279"/>
      <c r="K3" s="279"/>
    </row>
    <row r="4" customFormat="false" ht="14.25" hidden="false" customHeight="true" outlineLevel="0" collapsed="false">
      <c r="A4" s="280" t="s">
        <v>1138</v>
      </c>
      <c r="B4" s="280"/>
      <c r="C4" s="280"/>
      <c r="D4" s="280"/>
      <c r="E4" s="280"/>
      <c r="F4" s="280"/>
      <c r="G4" s="281"/>
      <c r="H4" s="282"/>
      <c r="I4" s="281"/>
      <c r="J4" s="281"/>
      <c r="K4" s="281"/>
    </row>
    <row r="5" customFormat="false" ht="14.25" hidden="false" customHeight="false" outlineLevel="0" collapsed="false">
      <c r="A5" s="280"/>
      <c r="B5" s="280"/>
      <c r="C5" s="280"/>
      <c r="D5" s="280"/>
      <c r="E5" s="280"/>
      <c r="F5" s="280"/>
      <c r="G5" s="282"/>
      <c r="H5" s="282"/>
      <c r="I5" s="282"/>
      <c r="J5" s="282"/>
      <c r="K5" s="282"/>
    </row>
    <row r="6" customFormat="false" ht="14.25" hidden="false" customHeight="true" outlineLevel="0" collapsed="false">
      <c r="A6" s="283" t="s">
        <v>1139</v>
      </c>
      <c r="B6" s="283"/>
      <c r="C6" s="283"/>
      <c r="D6" s="283"/>
      <c r="E6" s="283"/>
      <c r="F6" s="283"/>
      <c r="G6" s="282"/>
      <c r="H6" s="282"/>
      <c r="I6" s="282"/>
      <c r="J6" s="282"/>
      <c r="K6" s="282"/>
    </row>
    <row r="7" customFormat="false" ht="26.85" hidden="false" customHeight="true" outlineLevel="0" collapsed="false">
      <c r="A7" s="283" t="s">
        <v>1140</v>
      </c>
      <c r="B7" s="283"/>
      <c r="C7" s="283"/>
      <c r="D7" s="283"/>
      <c r="E7" s="283"/>
      <c r="F7" s="283"/>
      <c r="G7" s="282"/>
      <c r="H7" s="282"/>
      <c r="I7" s="282"/>
      <c r="J7" s="282"/>
      <c r="K7" s="282"/>
    </row>
    <row r="8" customFormat="false" ht="14.25" hidden="false" customHeight="true" outlineLevel="0" collapsed="false">
      <c r="A8" s="283" t="s">
        <v>1141</v>
      </c>
      <c r="B8" s="283"/>
      <c r="C8" s="283"/>
      <c r="D8" s="283"/>
      <c r="E8" s="283"/>
      <c r="F8" s="283"/>
      <c r="G8" s="282"/>
      <c r="H8" s="282"/>
      <c r="I8" s="282"/>
      <c r="J8" s="282"/>
      <c r="K8" s="282"/>
    </row>
    <row r="9" customFormat="false" ht="26.85" hidden="false" customHeight="true" outlineLevel="0" collapsed="false">
      <c r="A9" s="283" t="s">
        <v>1142</v>
      </c>
      <c r="B9" s="283"/>
      <c r="C9" s="283"/>
      <c r="D9" s="283"/>
      <c r="E9" s="283"/>
      <c r="F9" s="283"/>
      <c r="G9" s="282"/>
      <c r="H9" s="282"/>
      <c r="I9" s="282"/>
      <c r="J9" s="282"/>
      <c r="K9" s="282"/>
    </row>
    <row r="10" customFormat="false" ht="14.25" hidden="false" customHeight="false" outlineLevel="0" collapsed="false">
      <c r="A10" s="280"/>
      <c r="B10" s="280"/>
      <c r="C10" s="280"/>
      <c r="D10" s="280"/>
      <c r="E10" s="280"/>
      <c r="F10" s="280"/>
      <c r="G10" s="282"/>
      <c r="H10" s="282"/>
      <c r="I10" s="282"/>
      <c r="J10" s="282"/>
      <c r="K10" s="282"/>
    </row>
    <row r="11" customFormat="false" ht="14.25" hidden="false" customHeight="false" outlineLevel="0" collapsed="false">
      <c r="A11" s="280"/>
      <c r="B11" s="280"/>
      <c r="C11" s="280"/>
      <c r="D11" s="280"/>
      <c r="E11" s="280"/>
      <c r="F11" s="280"/>
      <c r="G11" s="282"/>
      <c r="H11" s="282"/>
      <c r="I11" s="282"/>
      <c r="J11" s="282"/>
      <c r="K11" s="282"/>
    </row>
    <row r="12" customFormat="false" ht="14.25" hidden="false" customHeight="true" outlineLevel="0" collapsed="false">
      <c r="A12" s="280" t="s">
        <v>1143</v>
      </c>
      <c r="B12" s="280"/>
      <c r="C12" s="280"/>
      <c r="D12" s="280"/>
      <c r="E12" s="280"/>
      <c r="F12" s="280"/>
      <c r="G12" s="282"/>
      <c r="H12" s="282"/>
      <c r="I12" s="282"/>
      <c r="J12" s="282"/>
      <c r="K12" s="282"/>
    </row>
    <row r="13" customFormat="false" ht="14.25" hidden="false" customHeight="false" outlineLevel="0" collapsed="false">
      <c r="A13" s="280"/>
      <c r="B13" s="280"/>
      <c r="C13" s="280"/>
      <c r="D13" s="280"/>
      <c r="E13" s="280"/>
      <c r="F13" s="280"/>
    </row>
    <row r="14" customFormat="false" ht="26.85" hidden="false" customHeight="false" outlineLevel="0" collapsed="false">
      <c r="A14" s="284" t="s">
        <v>1144</v>
      </c>
      <c r="B14" s="285" t="s">
        <v>1145</v>
      </c>
      <c r="C14" s="285" t="s">
        <v>1146</v>
      </c>
    </row>
    <row r="15" customFormat="false" ht="64.9" hidden="false" customHeight="false" outlineLevel="0" collapsed="false">
      <c r="A15" s="286" t="s">
        <v>1075</v>
      </c>
      <c r="B15" s="287" t="s">
        <v>1084</v>
      </c>
      <c r="C15" s="287" t="s">
        <v>1147</v>
      </c>
    </row>
    <row r="16" customFormat="false" ht="64.9" hidden="false" customHeight="false" outlineLevel="0" collapsed="false">
      <c r="A16" s="288" t="s">
        <v>1148</v>
      </c>
      <c r="B16" s="289" t="s">
        <v>1076</v>
      </c>
      <c r="C16" s="289" t="s">
        <v>1149</v>
      </c>
    </row>
    <row r="17" customFormat="false" ht="39.55" hidden="false" customHeight="false" outlineLevel="0" collapsed="false">
      <c r="A17" s="290" t="s">
        <v>1150</v>
      </c>
      <c r="B17" s="290" t="s">
        <v>1071</v>
      </c>
      <c r="C17" s="290" t="s">
        <v>1151</v>
      </c>
    </row>
    <row r="19" customFormat="false" ht="14.25" hidden="false" customHeight="true" outlineLevel="0" collapsed="false">
      <c r="A19" s="280" t="s">
        <v>1152</v>
      </c>
      <c r="B19" s="280"/>
      <c r="C19" s="280"/>
      <c r="D19" s="280"/>
      <c r="E19" s="280"/>
      <c r="F19" s="280"/>
    </row>
    <row r="20" customFormat="false" ht="14.25" hidden="false" customHeight="false" outlineLevel="0" collapsed="false">
      <c r="A20" s="291"/>
      <c r="B20" s="1"/>
      <c r="C20" s="1"/>
    </row>
    <row r="21" customFormat="false" ht="26.85" hidden="false" customHeight="false" outlineLevel="0" collapsed="false">
      <c r="A21" s="292" t="s">
        <v>1153</v>
      </c>
      <c r="B21" s="293" t="s">
        <v>1154</v>
      </c>
      <c r="C21" s="293" t="s">
        <v>1146</v>
      </c>
    </row>
    <row r="22" customFormat="false" ht="128.35" hidden="false" customHeight="false" outlineLevel="0" collapsed="false">
      <c r="A22" s="294" t="s">
        <v>1075</v>
      </c>
      <c r="B22" s="295" t="s">
        <v>1084</v>
      </c>
      <c r="C22" s="295" t="s">
        <v>1155</v>
      </c>
    </row>
    <row r="23" customFormat="false" ht="77.6" hidden="false" customHeight="true" outlineLevel="0" collapsed="false">
      <c r="A23" s="296" t="s">
        <v>1156</v>
      </c>
      <c r="B23" s="296" t="s">
        <v>1076</v>
      </c>
      <c r="C23" s="297" t="s">
        <v>1157</v>
      </c>
    </row>
    <row r="24" customFormat="false" ht="52.2" hidden="false" customHeight="false" outlineLevel="0" collapsed="false">
      <c r="A24" s="296"/>
      <c r="B24" s="296"/>
      <c r="C24" s="298" t="s">
        <v>1158</v>
      </c>
    </row>
    <row r="25" customFormat="false" ht="52.2" hidden="false" customHeight="false" outlineLevel="0" collapsed="false">
      <c r="A25" s="299" t="s">
        <v>1150</v>
      </c>
      <c r="B25" s="299" t="s">
        <v>1071</v>
      </c>
      <c r="C25" s="299" t="s">
        <v>1159</v>
      </c>
    </row>
    <row r="26" customFormat="false" ht="14.25" hidden="false" customHeight="false" outlineLevel="0" collapsed="false">
      <c r="A26" s="291"/>
      <c r="B26" s="1"/>
      <c r="C26" s="1"/>
    </row>
  </sheetData>
  <mergeCells count="14">
    <mergeCell ref="A3:K3"/>
    <mergeCell ref="A4:F4"/>
    <mergeCell ref="A5:F5"/>
    <mergeCell ref="A6:F6"/>
    <mergeCell ref="A7:F7"/>
    <mergeCell ref="A8:F8"/>
    <mergeCell ref="A9:F9"/>
    <mergeCell ref="A10:F10"/>
    <mergeCell ref="A11:F11"/>
    <mergeCell ref="A12:F12"/>
    <mergeCell ref="A13:F13"/>
    <mergeCell ref="A19:F19"/>
    <mergeCell ref="A23:A24"/>
    <mergeCell ref="B23:B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11E9D3846C4D4FBAEB1863425F82CD" ma:contentTypeVersion="18" ma:contentTypeDescription="Create a new document." ma:contentTypeScope="" ma:versionID="4ff32fbf31a33c385020bbac08dc5ea5">
  <xsd:schema xmlns:xsd="http://www.w3.org/2001/XMLSchema" xmlns:xs="http://www.w3.org/2001/XMLSchema" xmlns:p="http://schemas.microsoft.com/office/2006/metadata/properties" xmlns:ns3="450fe87c-33c4-47c1-88a4-3594b92b2cba" xmlns:ns4="27f615f5-e396-48ee-827b-0d5d4626d812" targetNamespace="http://schemas.microsoft.com/office/2006/metadata/properties" ma:root="true" ma:fieldsID="723bbd7ffc43a7254287f236fcd4557a" ns3:_="" ns4:_="">
    <xsd:import namespace="450fe87c-33c4-47c1-88a4-3594b92b2cba"/>
    <xsd:import namespace="27f615f5-e396-48ee-827b-0d5d4626d81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0fe87c-33c4-47c1-88a4-3594b92b2c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f615f5-e396-48ee-827b-0d5d4626d81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450fe87c-33c4-47c1-88a4-3594b92b2cb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5ABC72-4F90-4759-B37C-59A573D806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0fe87c-33c4-47c1-88a4-3594b92b2cba"/>
    <ds:schemaRef ds:uri="27f615f5-e396-48ee-827b-0d5d4626d8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B1B9DA-7BCE-4E97-91A4-6B66716A0CEE}">
  <ds:schemaRefs>
    <ds:schemaRef ds:uri="http://schemas.microsoft.com/office/2006/documentManagement/types"/>
    <ds:schemaRef ds:uri="http://www.w3.org/XML/1998/namespace"/>
    <ds:schemaRef ds:uri="http://schemas.microsoft.com/office/infopath/2007/PartnerControls"/>
    <ds:schemaRef ds:uri="http://purl.org/dc/dcmitype/"/>
    <ds:schemaRef ds:uri="450fe87c-33c4-47c1-88a4-3594b92b2cba"/>
    <ds:schemaRef ds:uri="http://schemas.openxmlformats.org/package/2006/metadata/core-properties"/>
    <ds:schemaRef ds:uri="http://purl.org/dc/elements/1.1/"/>
    <ds:schemaRef ds:uri="27f615f5-e396-48ee-827b-0d5d4626d812"/>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A094507-E759-460A-ABE0-9583496F3D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299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en-US</dc:language>
  <cp:lastModifiedBy/>
  <dcterms:modified xsi:type="dcterms:W3CDTF">2026-04-14T20:32:01Z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0x010100D411E9D3846C4D4FBAEB1863425F82CD</vt:lpwstr>
  </property>
</Properties>
</file>